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PlanificacionEstrategiaTIHipermaxi\"/>
    </mc:Choice>
  </mc:AlternateContent>
  <xr:revisionPtr revIDLastSave="0" documentId="8_{01B24A87-113D-407D-83F2-D4B7F5455FDF}" xr6:coauthVersionLast="47" xr6:coauthVersionMax="47" xr10:uidLastSave="{00000000-0000-0000-0000-000000000000}"/>
  <bookViews>
    <workbookView xWindow="-108" yWindow="-108" windowWidth="23256" windowHeight="12456" activeTab="3" xr2:uid="{294CCF52-1FFD-4D68-BA22-280B90982294}"/>
  </bookViews>
  <sheets>
    <sheet name="Información del proyecto" sheetId="1" r:id="rId1"/>
    <sheet name="Matriz de trazabilidad" sheetId="2" r:id="rId2"/>
    <sheet name="Resumen EDT final" sheetId="3" r:id="rId3"/>
    <sheet name="Catálogo EDT final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" l="1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</calcChain>
</file>

<file path=xl/sharedStrings.xml><?xml version="1.0" encoding="utf-8"?>
<sst xmlns="http://schemas.openxmlformats.org/spreadsheetml/2006/main" count="754" uniqueCount="518">
  <si>
    <t>A06 - Matriz de trazabilidad de requisitos</t>
  </si>
  <si>
    <t>Proyecto</t>
  </si>
  <si>
    <t>Implementación de estrategia TI para HIPERMAXI</t>
  </si>
  <si>
    <t>Identificador</t>
  </si>
  <si>
    <t>SIGSUP</t>
  </si>
  <si>
    <t>Versión 1.0</t>
  </si>
  <si>
    <t>Empresa/Organización</t>
  </si>
  <si>
    <t>HIPERMAXI</t>
  </si>
  <si>
    <t>Fecha de elaboración</t>
  </si>
  <si>
    <t>Cliente</t>
  </si>
  <si>
    <t>Patrocinador principal</t>
  </si>
  <si>
    <t>Director del proyecto</t>
  </si>
  <si>
    <t>Pablo Arauz Caballero</t>
  </si>
  <si>
    <t>Documento base</t>
  </si>
  <si>
    <t>EDT final por entregables</t>
  </si>
  <si>
    <t>Propósito</t>
  </si>
  <si>
    <t>Vincular cada requisito con su entregable verificable del EDT final.</t>
  </si>
  <si>
    <t>Criterio de uso</t>
  </si>
  <si>
    <t>No se acepta requisito sin entregable, criterio y evidencia.</t>
  </si>
  <si>
    <t>Componentes EDT</t>
  </si>
  <si>
    <t>Cloud, Adquisiciones, Software, Redes e Infraestructura</t>
  </si>
  <si>
    <t>Regla de trazabilidad</t>
  </si>
  <si>
    <t>Todo requisito debe tener código, propietario, prioridad, estado, criterio y evidencia.</t>
  </si>
  <si>
    <t>Enfoque</t>
  </si>
  <si>
    <t>Orientado a entregables aceptables por el cliente, no a copia de actividades.</t>
  </si>
  <si>
    <t>Control</t>
  </si>
  <si>
    <t>Cambios por matriz de configuración y aprobación formal.</t>
  </si>
  <si>
    <t>Matriz de trazabilidad - HIPERMAXI</t>
  </si>
  <si>
    <t>Identificador del proyecto: SIGSUP</t>
  </si>
  <si>
    <t>ID del requerimiento</t>
  </si>
  <si>
    <t>Componente EDT</t>
  </si>
  <si>
    <t>Paquete EDT final</t>
  </si>
  <si>
    <t>Descripción del requerimiento</t>
  </si>
  <si>
    <t>Sustento de inclusión</t>
  </si>
  <si>
    <t>Fecha de inclusión</t>
  </si>
  <si>
    <t>Propietario</t>
  </si>
  <si>
    <t>Fuente</t>
  </si>
  <si>
    <t>Prioridad</t>
  </si>
  <si>
    <t>Estado actual</t>
  </si>
  <si>
    <t>Criterio de aceptación</t>
  </si>
  <si>
    <t>Evidencia requerida</t>
  </si>
  <si>
    <t>Entregable del WBS</t>
  </si>
  <si>
    <t>CLD-001</t>
  </si>
  <si>
    <t>Cloud</t>
  </si>
  <si>
    <t>1.1 Contratar servicios de asesoría de cloud</t>
  </si>
  <si>
    <t>Se deberá contratar un asesor cloud para definir arquitectura, riesgos, costos, proveedores y criterios técnicos de contratación.</t>
  </si>
  <si>
    <t>HIPERMAXI requiere apoyo experto para no elegir servicios cloud por precio únicamente y evitar costos ocultos o configuraciones deficientes.</t>
  </si>
  <si>
    <t>Gerencia / TI</t>
  </si>
  <si>
    <t>EDT final / Necesidad de decisión técnica y económica</t>
  </si>
  <si>
    <t>Alta</t>
  </si>
  <si>
    <t>Aprobado</t>
  </si>
  <si>
    <t>Existe contrato u orden de servicio de asesoría cloud, alcance de asesoría y responsable asignado.</t>
  </si>
  <si>
    <t>Contrato de asesoría cloud y acta de inicio</t>
  </si>
  <si>
    <t>CLD-002</t>
  </si>
  <si>
    <t>1.2 Contratar servicios cloud</t>
  </si>
  <si>
    <t>Se deberán contratar servicios cloud con condiciones comerciales, SLA, soporte, disponibilidad y controles mínimos de seguridad.</t>
  </si>
  <si>
    <t>La operación futura dependerá de servicios cloud estables y con costo controlable.</t>
  </si>
  <si>
    <t>TI / Gerencia Financiera</t>
  </si>
  <si>
    <t>EDT final / Evaluación de proveedores cloud</t>
  </si>
  <si>
    <t>Existe contrato o suscripción cloud activa con proveedor aprobado, SLA documentado y responsable de administración.</t>
  </si>
  <si>
    <t>Contrato de servicios cloud / SLA</t>
  </si>
  <si>
    <t>CLD-003</t>
  </si>
  <si>
    <t>1.3 Configuración de plan de respaldo y continuidad</t>
  </si>
  <si>
    <t>Se deberá contar con plan de respaldo y continuidad que defina frecuencia, retención, responsables, RPO/RTO y pruebas de restauración.</t>
  </si>
  <si>
    <t>La información de ventas, inventario, compras y contabilidad no puede depender de respaldos improvisados.</t>
  </si>
  <si>
    <t>TI / Seguridad de la información</t>
  </si>
  <si>
    <t>EDT final / Continuidad operativa</t>
  </si>
  <si>
    <t>Plan aprobado con política de backups, prueba de restauración exitosa y evidencia documentada.</t>
  </si>
  <si>
    <t>Plan de respaldo y continuidad</t>
  </si>
  <si>
    <t>CLD-004</t>
  </si>
  <si>
    <t>1.4 Configuración de ambientes de desarrollo, pruebas, preproducción y producción</t>
  </si>
  <si>
    <t>Se deberán configurar ambientes separados para desarrollo, pruebas, preproducción y producción.</t>
  </si>
  <si>
    <t>Evita que pruebas o desarrollos afecten información real de operación.</t>
  </si>
  <si>
    <t>TI / Equipo de desarrollo</t>
  </si>
  <si>
    <t>EDT final / Buenas prácticas de despliegue</t>
  </si>
  <si>
    <t>Los ambientes existen, están separados, tienen permisos definidos y documentación de acceso.</t>
  </si>
  <si>
    <t>Ambientes cloud configurados</t>
  </si>
  <si>
    <t>CLD-005</t>
  </si>
  <si>
    <t>1.5 Configuración de servicios cloud</t>
  </si>
  <si>
    <t>Se deberá configurar base de datos administrada, almacenamiento de documentos, almacenamiento de respaldos y red cloud privada.</t>
  </si>
  <si>
    <t>El software necesita servicios cloud mínimos para operar de forma segura e integrada.</t>
  </si>
  <si>
    <t>TI / Asesor cloud</t>
  </si>
  <si>
    <t>EDT final / Arquitectura cloud</t>
  </si>
  <si>
    <t>BD administrada, almacenamiento y red privada están creados, documentados y probados.</t>
  </si>
  <si>
    <t>Servicios cloud configurados</t>
  </si>
  <si>
    <t>CLD-006</t>
  </si>
  <si>
    <t>1.6 Seguridad y operación cloud</t>
  </si>
  <si>
    <t>Se deberán configurar usuarios, roles, accesos, monitoreo, logs, alertas y línea base mensual de costos cloud.</t>
  </si>
  <si>
    <t>La operación cloud debe ser auditable y financieramente controlada.</t>
  </si>
  <si>
    <t>TI / Seguridad / Finanzas</t>
  </si>
  <si>
    <t>EDT final / Gobierno cloud</t>
  </si>
  <si>
    <t>Usuarios y roles definidos, monitoreo activo, alertas configuradas y reporte mensual base de costos aprobado.</t>
  </si>
  <si>
    <t>Tablero de operación cloud y línea base de costos</t>
  </si>
  <si>
    <t>ADQ-001</t>
  </si>
  <si>
    <t>Adquisiciones</t>
  </si>
  <si>
    <t>2.1 Cotizar proveedores</t>
  </si>
  <si>
    <t>Se deberán solicitar cotizaciones comparables para equipos, servicios cloud, conectividad, red, infraestructura, POS y otros materiales requeridos.</t>
  </si>
  <si>
    <t>El cliente necesita transparencia y trazabilidad de costos antes de adquirir.</t>
  </si>
  <si>
    <t>Adquisiciones / Finanzas</t>
  </si>
  <si>
    <t>EDT final / Plan de compras</t>
  </si>
  <si>
    <t>Existen al menos cotizaciones comparables por rubro con precio, plazo, garantía y condiciones de soporte.</t>
  </si>
  <si>
    <t>Carpeta de cotizaciones</t>
  </si>
  <si>
    <t>ADQ-002</t>
  </si>
  <si>
    <t>2.2 Elegir proveedores económicamente factibles</t>
  </si>
  <si>
    <t>Se deberá seleccionar proveedores con base en matriz técnica-económica, considerando costo total, garantía, soporte, plazo y riesgo.</t>
  </si>
  <si>
    <t>Elegir solo por menor precio puede generar fallas operativas y costos posteriores.</t>
  </si>
  <si>
    <t>Adquisiciones / TI / Finanzas</t>
  </si>
  <si>
    <t>EDT final / Evaluación de proveedores</t>
  </si>
  <si>
    <t>Matriz de evaluación aprobada y acta de selección de proveedores económicamente factibles.</t>
  </si>
  <si>
    <t>Matriz de selección de proveedores</t>
  </si>
  <si>
    <t>ADQ-003</t>
  </si>
  <si>
    <t>2.3 Adquirir materiales y otros</t>
  </si>
  <si>
    <t>Se deberán adquirir los materiales y servicios aprobados, registrando órdenes de compra, facturas, recepción y garantías.</t>
  </si>
  <si>
    <t>El proyecto requiere control formal de bienes y servicios contratados.</t>
  </si>
  <si>
    <t>Adquisiciones / Almacén / Finanzas</t>
  </si>
  <si>
    <t>EDT final / Ejecución de compras</t>
  </si>
  <si>
    <t>Cada adquisición cuenta con orden de compra, evidencia de recepción conforme y registro de garantía cuando aplique.</t>
  </si>
  <si>
    <t>Órdenes de compra y actas de recepción</t>
  </si>
  <si>
    <t>ADQ-004</t>
  </si>
  <si>
    <t>Se deberá llevar inventario de activos adquiridos con código, ubicación, responsable, proveedor, garantía y estado.</t>
  </si>
  <si>
    <t>Los activos tecnológicos deben quedar trazables para soporte, mantenimiento y auditoría.</t>
  </si>
  <si>
    <t>TI / Adquisiciones</t>
  </si>
  <si>
    <t>Control de activos</t>
  </si>
  <si>
    <t>Media</t>
  </si>
  <si>
    <t>Inventario de activos completo y conciliado con facturas/actas de recepción.</t>
  </si>
  <si>
    <t>Inventario de activos tecnológicos</t>
  </si>
  <si>
    <t>SOF-001</t>
  </si>
  <si>
    <t>Software</t>
  </si>
  <si>
    <t>3.1 Diseño funcional y técnico</t>
  </si>
  <si>
    <t>Se deberá elaborar diseño funcional y técnico del sistema integral, incluyendo alcance por módulo, reglas de negocio y arquitectura técnica.</t>
  </si>
  <si>
    <t>El cliente necesita entender qué recibirá antes de desarrollar o implementar módulos.</t>
  </si>
  <si>
    <t>Equipo de software / TI</t>
  </si>
  <si>
    <t>EDT final / Diseño del sistema</t>
  </si>
  <si>
    <t>Documento aprobado por TI y usuarios clave con alcance funcional, técnico e integraciones definidas.</t>
  </si>
  <si>
    <t>Diseño funcional y técnico</t>
  </si>
  <si>
    <t>SOF-002</t>
  </si>
  <si>
    <t>Se deberán presentar prototipos de pantalla para los módulos principales: POS, inventario, compras, contabilidad, logística y BI.</t>
  </si>
  <si>
    <t>Reduce ambigüedad y facilita validación temprana con usuarios.</t>
  </si>
  <si>
    <t>Analista funcional / Usuarios clave</t>
  </si>
  <si>
    <t>EDT final / Diseño de experiencia de usuario</t>
  </si>
  <si>
    <t>Prototipos revisados y aprobados por áreas usuarias antes de construcción.</t>
  </si>
  <si>
    <t>Prototipos aprobados</t>
  </si>
  <si>
    <t>SOF-003</t>
  </si>
  <si>
    <t>Se deberá definir el modelo de datos para productos, proveedores, usuarios, roles, sucursales, inventario, ventas, compras, contabilidad y logística.</t>
  </si>
  <si>
    <t>Una base de datos mal modelada generaría errores de integración y reportes.</t>
  </si>
  <si>
    <t>Arquitecto / DBA</t>
  </si>
  <si>
    <t>EDT final / Modelo de datos</t>
  </si>
  <si>
    <t>Modelo de datos documentado, validado y alineado a migración e integraciones.</t>
  </si>
  <si>
    <t>Modelo de datos aprobado</t>
  </si>
  <si>
    <t>SOF-004</t>
  </si>
  <si>
    <t>Se deberá diseñar la integración entre módulos y servicios externos, incluyendo inventario-ventas-compras-contabilidad-logística-BI.</t>
  </si>
  <si>
    <t>La estrategia TI busca eliminar sistemas aislados.</t>
  </si>
  <si>
    <t>Arquitecto / TI</t>
  </si>
  <si>
    <t>EDT final / Diseño de integraciones</t>
  </si>
  <si>
    <t>Mapa de integraciones aprobado con flujos de datos, responsables y criterios de prueba.</t>
  </si>
  <si>
    <t>Diseño de integraciones</t>
  </si>
  <si>
    <t>SOF-005</t>
  </si>
  <si>
    <t>3.2 Módulos de operación implementados</t>
  </si>
  <si>
    <t>Se deberá implementar POS/cajas y ventas con registro de venta, emisión de comprobante, actualización de inventario y consulta de precios.</t>
  </si>
  <si>
    <t>El área de cajas es crítica para atención al cliente y control de ingresos.</t>
  </si>
  <si>
    <t>Equipo de software / Cajas</t>
  </si>
  <si>
    <t>EDT final / Módulos de operación</t>
  </si>
  <si>
    <t>Venta registrada actualiza stock, genera comprobante y queda disponible para reportes y contabilidad.</t>
  </si>
  <si>
    <t>Módulo POS/cajas y ventas</t>
  </si>
  <si>
    <t>SOF-006</t>
  </si>
  <si>
    <t>Se deberá implementar inventario por sucursal, lote y fecha de vencimiento, con alertas de stock mínimo y vencimiento próximo.</t>
  </si>
  <si>
    <t>Los productos de supermercado requieren trazabilidad por sucursal y perecederos.</t>
  </si>
  <si>
    <t>Inventarios / Almacenes</t>
  </si>
  <si>
    <t>Stock por sucursal, lote y vencimiento se registra y las alertas funcionan según parámetros aprobados.</t>
  </si>
  <si>
    <t>Módulo de inventario</t>
  </si>
  <si>
    <t>SOF-007</t>
  </si>
  <si>
    <t>Se deberá implementar compras y proveedores con órdenes de compra, recepción de mercadería, proveedores y condiciones comerciales.</t>
  </si>
  <si>
    <t>Compras necesita control documental y trazabilidad con inventarios.</t>
  </si>
  <si>
    <t>Compras / Abastecimiento</t>
  </si>
  <si>
    <t>La orden de compra se asocia a proveedor, recepción e inventario de forma verificable.</t>
  </si>
  <si>
    <t>Módulo compras y proveedores</t>
  </si>
  <si>
    <t>SOF-008</t>
  </si>
  <si>
    <t>3.3 Módulos de gestión implementados</t>
  </si>
  <si>
    <t>Se deberá implementar contabilidad web integrada con ventas, compras e inventarios.</t>
  </si>
  <si>
    <t>La información contable debe provenir de operaciones reales y trazables.</t>
  </si>
  <si>
    <t>Contabilidad / Finanzas</t>
  </si>
  <si>
    <t>EDT final / Módulos de gestión</t>
  </si>
  <si>
    <t>Operaciones de venta y compra generan datos contables o reportes contables definidos.</t>
  </si>
  <si>
    <t>Módulo contabilidad web</t>
  </si>
  <si>
    <t>SOF-009</t>
  </si>
  <si>
    <t>Se deberá implementar logística y traspasos entre sucursales/almacenes con seguimiento de movimientos.</t>
  </si>
  <si>
    <t>La operación necesita controlar abastecimiento y transferencias internas.</t>
  </si>
  <si>
    <t>Logística / Inventarios</t>
  </si>
  <si>
    <t>Los traspasos registran origen, destino, responsable, estado y actualización de inventario.</t>
  </si>
  <si>
    <t>Módulo logística y traspasos</t>
  </si>
  <si>
    <t>SOF-010</t>
  </si>
  <si>
    <t>Se deberán implementar reportes gerenciales y BI para ventas, inventario, compras, rotación, vencimientos y desempeño por sucursal.</t>
  </si>
  <si>
    <t>La gerencia necesita datos consolidados para tomar decisiones.</t>
  </si>
  <si>
    <t>Gerencia / BI</t>
  </si>
  <si>
    <t>Los reportes filtran por fecha, sucursal, categoría, proveedor y área operativa según diseño aprobado.</t>
  </si>
  <si>
    <t>BI/reportes gerenciales</t>
  </si>
  <si>
    <t>SOF-011</t>
  </si>
  <si>
    <t>3.4 Datos migrados y depurados</t>
  </si>
  <si>
    <t>Se deberán migrar y depurar datos de productos, proveedores, usuarios, roles y sucursales.</t>
  </si>
  <si>
    <t>El sistema no puede iniciar con datos duplicados o incompletos.</t>
  </si>
  <si>
    <t>TI / Áreas usuarias</t>
  </si>
  <si>
    <t>EDT final / Migración de datos</t>
  </si>
  <si>
    <t>Datos migrados con validación de completitud, duplicados controlados y acta de aprobación por área.</t>
  </si>
  <si>
    <t>Datos migrados y depurados</t>
  </si>
  <si>
    <t>SOF-012</t>
  </si>
  <si>
    <t>3.5 Documentación técnica</t>
  </si>
  <si>
    <t>Se deberá entregar documentación técnica de arquitectura, base de datos, APIs, despliegue, integración y operación.</t>
  </si>
  <si>
    <t>TI necesita mantener y escalar la solución después del proyecto.</t>
  </si>
  <si>
    <t>Equipo técnico / TI</t>
  </si>
  <si>
    <t>EDT final / Documentación técnica</t>
  </si>
  <si>
    <t>Documentación técnica completa, revisada por TI y almacenada en repositorio formal.</t>
  </si>
  <si>
    <t>Documentación técnica</t>
  </si>
  <si>
    <t>SOF-013</t>
  </si>
  <si>
    <t>3.6 Pruebas, capacitación y manuales</t>
  </si>
  <si>
    <t>Se deberán ejecutar pruebas internas y UAT por área usuaria antes de aceptación.</t>
  </si>
  <si>
    <t>Evita liberar módulos con fallas operativas o rechazo de usuarios.</t>
  </si>
  <si>
    <t>QA / Usuarios clave</t>
  </si>
  <si>
    <t>EDT final / Pruebas y aceptación</t>
  </si>
  <si>
    <t>Casos de prueba ejecutados, incidencias críticas cerradas y UAT firmado por área.</t>
  </si>
  <si>
    <t>Informe de pruebas y UAT</t>
  </si>
  <si>
    <t>SOF-014</t>
  </si>
  <si>
    <t>Se deberán entregar manuales por rol: cajero, inventarios, compras, contabilidad, logística, administrador y soporte.</t>
  </si>
  <si>
    <t>La adopción depende de guías claras por rol operativo.</t>
  </si>
  <si>
    <t>Capacitación / Documentación</t>
  </si>
  <si>
    <t>EDT final / Manuales</t>
  </si>
  <si>
    <t>Manuales entregados, revisados con usuarios y disponibles en repositorio del proyecto.</t>
  </si>
  <si>
    <t>Manuales por rol</t>
  </si>
  <si>
    <t>RED-001</t>
  </si>
  <si>
    <t>Redes</t>
  </si>
  <si>
    <t>4.1 Contratar experto en redes</t>
  </si>
  <si>
    <t>Se deberá contratar experto en redes para diseño, configuración, seguridad y pruebas de conectividad.</t>
  </si>
  <si>
    <t>La red es crítica para integrar tienda, sucursal, cloud y soporte.</t>
  </si>
  <si>
    <t>EDT final / Redes</t>
  </si>
  <si>
    <t>Contrato/orden de servicio con alcance, entregables y responsable definidos.</t>
  </si>
  <si>
    <t>Contrato experto en redes</t>
  </si>
  <si>
    <t>RED-002</t>
  </si>
  <si>
    <t>4.2 Contratar servicios de conectividad</t>
  </si>
  <si>
    <t>Se deberán contratar enlaces de conectividad con disponibilidad, ancho de banda, soporte y SLA adecuados.</t>
  </si>
  <si>
    <t>La operación del sistema requiere conectividad estable y soporte formal.</t>
  </si>
  <si>
    <t>TI / Proveedor conectividad</t>
  </si>
  <si>
    <t>EDT final / Conectividad</t>
  </si>
  <si>
    <t>Servicio activo con SLA, soporte y prueba de conectividad documentada.</t>
  </si>
  <si>
    <t>Contrato de conectividad</t>
  </si>
  <si>
    <t>RED-003</t>
  </si>
  <si>
    <t>4.3 Contratar personal operativo</t>
  </si>
  <si>
    <t>Se deberá contratar/asignar personal operativo para instalación, cableado, pruebas y soporte inicial.</t>
  </si>
  <si>
    <t>Los trabajos físicos requieren ejecución controlada en sitio.</t>
  </si>
  <si>
    <t>TI / Recursos Humanos</t>
  </si>
  <si>
    <t>EDT final / Personal operativo</t>
  </si>
  <si>
    <t>Personal asignado con funciones, turnos, responsable y evidencia de capacitación básica.</t>
  </si>
  <si>
    <t>Personal operativo asignado</t>
  </si>
  <si>
    <t>RED-004</t>
  </si>
  <si>
    <t>4.4 Preparar el terreno</t>
  </si>
  <si>
    <t>Se deberán preparar áreas para instalación de cableado, equipos de red, puntos de acceso y rutas técnicas.</t>
  </si>
  <si>
    <t>La instalación ordenada reduce fallas, improvisación y retrabajo.</t>
  </si>
  <si>
    <t>Infraestructura / Redes</t>
  </si>
  <si>
    <t>EDT final / Preparación de terreno</t>
  </si>
  <si>
    <t>Áreas liberadas, canalizaciones listas y checklist de preparación aprobado.</t>
  </si>
  <si>
    <t>Área preparada para red</t>
  </si>
  <si>
    <t>RED-005</t>
  </si>
  <si>
    <t>4.5 Configuración e instalación de switches, router y otros dispositivos</t>
  </si>
  <si>
    <t>Se deberán instalar y configurar switches, router y dispositivos de red definidos en el diseño.</t>
  </si>
  <si>
    <t>La conectividad interna depende de equipos correctamente configurados.</t>
  </si>
  <si>
    <t>Experto redes / TI</t>
  </si>
  <si>
    <t>EDT final / Equipos de red</t>
  </si>
  <si>
    <t>Equipos instalados, configuraciones respaldadas e inventario técnico actualizado.</t>
  </si>
  <si>
    <t>Equipos de red instalados</t>
  </si>
  <si>
    <t>RED-006</t>
  </si>
  <si>
    <t>4.6 Colocación de puntos de acceso</t>
  </si>
  <si>
    <t>Se deberán instalar puntos de acceso WiFi según cobertura y segmentación definidas.</t>
  </si>
  <si>
    <t>Áreas operativas y administrativas requieren conectividad controlada.</t>
  </si>
  <si>
    <t>Redes / TI</t>
  </si>
  <si>
    <t>EDT final / WiFi</t>
  </si>
  <si>
    <t>Puntos de acceso instalados, probados por cobertura y documentados en plano as-built.</t>
  </si>
  <si>
    <t>Puntos de acceso instalados</t>
  </si>
  <si>
    <t>RED-007</t>
  </si>
  <si>
    <t>4.7 Implementación de cableado estructurado</t>
  </si>
  <si>
    <t>Se deberá instalar cableado estructurado etiquetado y probado para cajas, administración, almacén y equipos críticos.</t>
  </si>
  <si>
    <t>El cableado es base física para estabilidad de red.</t>
  </si>
  <si>
    <t>Redes / Infraestructura</t>
  </si>
  <si>
    <t>EDT final / Cableado</t>
  </si>
  <si>
    <t>Cableado instalado, etiquetado, probado y registrado por punto.</t>
  </si>
  <si>
    <t>Cableado estructurado</t>
  </si>
  <si>
    <t>RED-008</t>
  </si>
  <si>
    <t>4.8 Configuración de VPN sucursal-cloud</t>
  </si>
  <si>
    <t>Se deberá configurar VPN segura entre sucursal y red cloud privada.</t>
  </si>
  <si>
    <t>Permite comunicación segura con servicios cloud y ambientes centrales.</t>
  </si>
  <si>
    <t>Redes / Cloud / Seguridad</t>
  </si>
  <si>
    <t>EDT final / VPN</t>
  </si>
  <si>
    <t>VPN operativa, cifrada, probada y documentada con parámetros de conexión.</t>
  </si>
  <si>
    <t>VPN sucursal-cloud</t>
  </si>
  <si>
    <t>RED-009</t>
  </si>
  <si>
    <t>4.9 Seguridad de red</t>
  </si>
  <si>
    <t>Se deberán configurar firewalls, VLAN para cajas/admin/invitados y acceso seguro para soporte.</t>
  </si>
  <si>
    <t>Reduce riesgo de accesos indebidos y segmenta áreas críticas.</t>
  </si>
  <si>
    <t>Seguridad / Redes</t>
  </si>
  <si>
    <t>EDT final / Seguridad de red</t>
  </si>
  <si>
    <t>Reglas de firewall, VLAN y acceso de soporte documentados y probados.</t>
  </si>
  <si>
    <t>Seguridad de red configurada</t>
  </si>
  <si>
    <t>RED-010</t>
  </si>
  <si>
    <t>4.10 Pruebas y documentación</t>
  </si>
  <si>
    <t>Se deberán ejecutar pruebas de latencia, velocidad, failover y elaborar documentación as-built.</t>
  </si>
  <si>
    <t>El cliente necesita evidencia de que la red funciona y puede mantenerse.</t>
  </si>
  <si>
    <t>Redes / QA técnico</t>
  </si>
  <si>
    <t>EDT final / Pruebas de red</t>
  </si>
  <si>
    <t>Informe de pruebas aprobado y documentación as-built entregada.</t>
  </si>
  <si>
    <t>Informe de pruebas de red y as-built</t>
  </si>
  <si>
    <t>INF-001</t>
  </si>
  <si>
    <t>Infraestructura</t>
  </si>
  <si>
    <t>5.1 Contratar experto en infraestructura</t>
  </si>
  <si>
    <t>Se deberá contratar experto en infraestructura para coordinar racks, energía, equipamiento, respaldo local, seguridad física y mantenimiento.</t>
  </si>
  <si>
    <t>La infraestructura física mal diseñada afectaría continuidad y seguridad.</t>
  </si>
  <si>
    <t>EDT final / Infraestructura</t>
  </si>
  <si>
    <t>Contrato/orden de servicio con alcance técnico, entregables y responsable definidos.</t>
  </si>
  <si>
    <t>Contrato experto en infraestructura</t>
  </si>
  <si>
    <t>INF-002</t>
  </si>
  <si>
    <t>5.2 Contratar personal necesario para preparar el terreno</t>
  </si>
  <si>
    <t>Se deberá contratar o asignar personal para adecuaciones físicas y preparación de espacios técnicos.</t>
  </si>
  <si>
    <t>La preparación física requiere personal operativo con responsabilidades claras.</t>
  </si>
  <si>
    <t>Infraestructura / RR. HH.</t>
  </si>
  <si>
    <t>Personal asignado, funciones documentadas y autorización de trabajo en sitio.</t>
  </si>
  <si>
    <t>Personal de preparación asignado</t>
  </si>
  <si>
    <t>INF-003</t>
  </si>
  <si>
    <t>5.3 Preparar el terreno</t>
  </si>
  <si>
    <t>Se deberán adecuar espacios para racks, gabinetes, energía, cableado, POS y equipos de tienda/oficina.</t>
  </si>
  <si>
    <t>Permite instalar tecnología sin improvisación y con menor interrupción operativa.</t>
  </si>
  <si>
    <t>Infraestructura / Operaciones</t>
  </si>
  <si>
    <t>EDT final / Preparación física</t>
  </si>
  <si>
    <t>Áreas preparadas, limpias, accesibles y aprobadas mediante checklist de sitio.</t>
  </si>
  <si>
    <t>Terreno preparado</t>
  </si>
  <si>
    <t>INF-004</t>
  </si>
  <si>
    <t>5.4 Instalación de racks y gabinetes</t>
  </si>
  <si>
    <t>Se deberán instalar racks y gabinetes para alojar equipos de red, respaldo y componentes críticos.</t>
  </si>
  <si>
    <t>Ordena y protege el equipamiento técnico.</t>
  </si>
  <si>
    <t>Infraestructura / TI</t>
  </si>
  <si>
    <t>EDT final / Racks y gabinetes</t>
  </si>
  <si>
    <t>Racks/gabinetes instalados, seguros, ventilados y con distribución documentada.</t>
  </si>
  <si>
    <t>Racks y gabinetes instalados</t>
  </si>
  <si>
    <t>INF-005</t>
  </si>
  <si>
    <t>5.5 Instalación de UPS y protección eléctrica</t>
  </si>
  <si>
    <t>Se deberán instalar UPS y protección eléctrica para equipos críticos.</t>
  </si>
  <si>
    <t>Reduce riesgo de caída de sistema, pérdida de datos y daño de equipos.</t>
  </si>
  <si>
    <t>Infraestructura / Electricidad / TI</t>
  </si>
  <si>
    <t>EDT final / Protección eléctrica</t>
  </si>
  <si>
    <t>UPS operativa, pruebas de respaldo realizadas y documentación de carga/autonomía entregada.</t>
  </si>
  <si>
    <t>UPS y protección eléctrica</t>
  </si>
  <si>
    <t>INF-006</t>
  </si>
  <si>
    <t>5.6 Etiquetado y ordenamiento</t>
  </si>
  <si>
    <t>Se deberá etiquetar y ordenar equipos, cables, puertos, racks, gabinetes y puntos técnicos.</t>
  </si>
  <si>
    <t>Facilita soporte, mantenimiento y auditoría.</t>
  </si>
  <si>
    <t>Infraestructura / Redes / TI</t>
  </si>
  <si>
    <t>EDT final / Etiquetado</t>
  </si>
  <si>
    <t>Etiquetas visibles y conciliadas con inventario/plano técnico.</t>
  </si>
  <si>
    <t>Etiquetado y ordenamiento</t>
  </si>
  <si>
    <t>INF-007</t>
  </si>
  <si>
    <t>5.7 Instalación de equipamiento en tienda</t>
  </si>
  <si>
    <t>Se deberán instalar terminales POS, lectores, impresoras, balanzas y equipos de almacén/oficina.</t>
  </si>
  <si>
    <t>La operación física requiere equipamiento instalado donde se utilizará.</t>
  </si>
  <si>
    <t>EDT final / Equipamiento de tienda</t>
  </si>
  <si>
    <t>Equipos instalados, probados y asignados a ubicación/responsable.</t>
  </si>
  <si>
    <t>Equipamiento de tienda instalado</t>
  </si>
  <si>
    <t>INF-008</t>
  </si>
  <si>
    <t>5.8 Respaldo local y continuidad</t>
  </si>
  <si>
    <t>Se deberá instalar equipo edge/local y repositorio de respaldo local para continuidad operativa.</t>
  </si>
  <si>
    <t>Brinda soporte ante interrupciones de conectividad o incidentes cloud.</t>
  </si>
  <si>
    <t>TI / Infraestructura</t>
  </si>
  <si>
    <t>EDT final / Continuidad local</t>
  </si>
  <si>
    <t>Equipo local y repositorio de respaldo configurados, probados y documentados.</t>
  </si>
  <si>
    <t>Respaldo local y equipo edge</t>
  </si>
  <si>
    <t>INF-009</t>
  </si>
  <si>
    <t>5.9 Seguridad física de TI</t>
  </si>
  <si>
    <t>Se deberá instalar señalética de acceso restringido, controles de acceso a áreas críticas y herramientas de protección física.</t>
  </si>
  <si>
    <t>Los activos críticos requieren protección frente a accesos no autorizados.</t>
  </si>
  <si>
    <t>Seguridad física / TI</t>
  </si>
  <si>
    <t>EDT final / Seguridad física</t>
  </si>
  <si>
    <t>Controles físicos instalados, señalética visible y protocolo de acceso documentado.</t>
  </si>
  <si>
    <t>Seguridad física TI instalada</t>
  </si>
  <si>
    <t>INF-010</t>
  </si>
  <si>
    <t>5.10 Plan de mantenimiento, mesa de ayuda y escalamiento</t>
  </si>
  <si>
    <t>Se deberá entregar plan de mantenimiento, mesa de ayuda, niveles de atención y matriz de escalamiento.</t>
  </si>
  <si>
    <t>El cliente necesita saber cómo se operará y mantendrá la solución después de la entrega.</t>
  </si>
  <si>
    <t>TI / Soporte / Proveedores</t>
  </si>
  <si>
    <t>EDT final / Soporte y mantenimiento</t>
  </si>
  <si>
    <t>Plan aprobado con SLA internos, responsables, canales, niveles de soporte y criterios de escalamiento.</t>
  </si>
  <si>
    <t>Plan de mantenimiento y mesa de ayuda</t>
  </si>
  <si>
    <t>Resumen ejecutivo de trazabilidad por componente EDT</t>
  </si>
  <si>
    <t>Requisitos trazados</t>
  </si>
  <si>
    <t>Baja</t>
  </si>
  <si>
    <t>Aprobados</t>
  </si>
  <si>
    <t>Entregable principal esperado</t>
  </si>
  <si>
    <t>Servicios cloud contratados, configurados, respaldados, seguros y con costos controlados.</t>
  </si>
  <si>
    <t>Cotizaciones, evaluación económica, compras, recepción y garantías documentadas.</t>
  </si>
  <si>
    <t>Sistema integral con módulos operativos/gestión, datos migrados, documentación, pruebas, manuales y UAT.</t>
  </si>
  <si>
    <t>Red corporativa instalada, segmentada, conectada a cloud, probada y documentada as-built.</t>
  </si>
  <si>
    <t>Terreno, racks, UPS, equipamiento, respaldo local, seguridad física y mesa de ayuda.</t>
  </si>
  <si>
    <t>Criterio de lectura: cada requisito está asociado a un paquete EDT verificable, con criterio de aceptación y evidencia requerida. Si un requisito no puede demostrar evidencia, no debe considerarse aceptado.</t>
  </si>
  <si>
    <t>Catálogo del EDT final usado para trazabilidad</t>
  </si>
  <si>
    <t>Código WBS</t>
  </si>
  <si>
    <t>Entregable / paquete</t>
  </si>
  <si>
    <t>Tipo</t>
  </si>
  <si>
    <t>Resultado verificable</t>
  </si>
  <si>
    <t>1.0</t>
  </si>
  <si>
    <t>Servicios y operación cloud</t>
  </si>
  <si>
    <t>Cuenta de control</t>
  </si>
  <si>
    <t>Nube contratada, configurada, respaldada, segura y con costos controlados.</t>
  </si>
  <si>
    <t>1.1</t>
  </si>
  <si>
    <t>Contratar servicios de asesoría de cloud</t>
  </si>
  <si>
    <t>Paquete de trabajo</t>
  </si>
  <si>
    <t>Contrato/orden de servicio de asesoría cloud y alcance técnico aprobado.</t>
  </si>
  <si>
    <t>1.2</t>
  </si>
  <si>
    <t>Contratar servicios cloud</t>
  </si>
  <si>
    <t>Contrato de servicios cloud con SLA, responsables y condiciones económicas.</t>
  </si>
  <si>
    <t>1.3</t>
  </si>
  <si>
    <t>Configuración de plan de respaldo y continuidad</t>
  </si>
  <si>
    <t>Política de backups, RPO/RTO, pruebas de restauración y plan de continuidad.</t>
  </si>
  <si>
    <t>1.4</t>
  </si>
  <si>
    <t>Configuración de ambientes de desarrollo, pruebas, preproducción y producción</t>
  </si>
  <si>
    <t>Ambientes separados, documentados y controlados por permisos.</t>
  </si>
  <si>
    <t>1.5</t>
  </si>
  <si>
    <t>Configuración de servicios cloud</t>
  </si>
  <si>
    <t>Base de datos administrada, almacenamiento de documentos/respaldos y red cloud privada operativa.</t>
  </si>
  <si>
    <t>1.6</t>
  </si>
  <si>
    <t>Seguridad y operación cloud</t>
  </si>
  <si>
    <t>Usuarios, roles, accesos, monitoreo, logs, alertas y línea base mensual de costos.</t>
  </si>
  <si>
    <t>2.0</t>
  </si>
  <si>
    <t>Gestión de adquisiciones tecnológicas</t>
  </si>
  <si>
    <t>Proveedores cotizados, seleccionados y materiales adquiridos con evidencia formal.</t>
  </si>
  <si>
    <t>2.1</t>
  </si>
  <si>
    <t>Cotizar proveedores</t>
  </si>
  <si>
    <t>Cotizaciones comparables por rubro, proveedor, costo, plazo y garantía.</t>
  </si>
  <si>
    <t>2.2</t>
  </si>
  <si>
    <t>Elegir proveedores económicamente factibles</t>
  </si>
  <si>
    <t>Matriz técnica-económica de evaluación y acta de selección.</t>
  </si>
  <si>
    <t>2.3</t>
  </si>
  <si>
    <t>Adquirir materiales y otros</t>
  </si>
  <si>
    <t>Órdenes de compra, facturas, recepción conforme y registro de garantías.</t>
  </si>
  <si>
    <t>3.0</t>
  </si>
  <si>
    <t>Sistema integral de gestión HIPERMAXI</t>
  </si>
  <si>
    <t>Sistema diseñado, implementado, probado, documentado y aceptado por áreas usuarias.</t>
  </si>
  <si>
    <t>3.1</t>
  </si>
  <si>
    <t>Prototipos, modelo de datos y diseño de integraciones aprobados.</t>
  </si>
  <si>
    <t>3.2</t>
  </si>
  <si>
    <t>Módulos de operación implementados</t>
  </si>
  <si>
    <t>POS/cajas y ventas, inventario por sucursal/lote/vencimiento, compras/proveedores.</t>
  </si>
  <si>
    <t>3.3</t>
  </si>
  <si>
    <t>Módulos de gestión implementados</t>
  </si>
  <si>
    <t>Contabilidad web, logística/traspasos y BI/reportes gerenciales.</t>
  </si>
  <si>
    <t>3.4</t>
  </si>
  <si>
    <t>Productos, proveedores, usuarios, roles y sucursales migrados y validados.</t>
  </si>
  <si>
    <t>3.5</t>
  </si>
  <si>
    <t>Arquitectura, APIs, base de datos, despliegue y operación técnica documentados.</t>
  </si>
  <si>
    <t>3.6</t>
  </si>
  <si>
    <t>Pruebas, capacitación y manuales</t>
  </si>
  <si>
    <t>Pruebas internas, UAT por área, manuales por rol y acta de aceptación.</t>
  </si>
  <si>
    <t>4.0</t>
  </si>
  <si>
    <t>Red corporativa y conectividad sucursal-cloud</t>
  </si>
  <si>
    <t>Red instalada, segmentada, segura, probada y documentada.</t>
  </si>
  <si>
    <t>4.1</t>
  </si>
  <si>
    <t>Contratar experto en redes</t>
  </si>
  <si>
    <t>Contrato/orden de servicio y alcance del diseño/implementación de red.</t>
  </si>
  <si>
    <t>4.2</t>
  </si>
  <si>
    <t>Contratar servicios de conectividad</t>
  </si>
  <si>
    <t>Enlaces contratados con SLA, soporte y condiciones de disponibilidad.</t>
  </si>
  <si>
    <t>4.3</t>
  </si>
  <si>
    <t>Contratar personal operativo</t>
  </si>
  <si>
    <t>Personal asignado para instalación, tendido, pruebas y soporte inicial.</t>
  </si>
  <si>
    <t>4.4</t>
  </si>
  <si>
    <t>Preparar el terreno</t>
  </si>
  <si>
    <t>Áreas listas para canalización, cableado, equipos y puntos de red.</t>
  </si>
  <si>
    <t>4.5</t>
  </si>
  <si>
    <t>Configuración e instalación de switches, router y otros dispositivos</t>
  </si>
  <si>
    <t>Equipos configurados, instalados y registrados en inventario técnico.</t>
  </si>
  <si>
    <t>4.6</t>
  </si>
  <si>
    <t>Colocación de puntos de acceso</t>
  </si>
  <si>
    <t>Puntos WiFi instalados, ubicados y probados por cobertura.</t>
  </si>
  <si>
    <t>4.7</t>
  </si>
  <si>
    <t>Implementación de cableado estructurado</t>
  </si>
  <si>
    <t>Cableado instalado, etiquetado y certificado.</t>
  </si>
  <si>
    <t>4.8</t>
  </si>
  <si>
    <t>Configuración de VPN sucursal-cloud</t>
  </si>
  <si>
    <t>Túnel VPN operativo, cifrado y probado con la red cloud privada.</t>
  </si>
  <si>
    <t>4.9</t>
  </si>
  <si>
    <t>Seguridad de red</t>
  </si>
  <si>
    <t>Firewalls, VLAN cajas/admin/invitados y acceso seguro para soporte.</t>
  </si>
  <si>
    <t>4.10</t>
  </si>
  <si>
    <t>Pruebas y documentación</t>
  </si>
  <si>
    <t>Latencia, velocidad, failover y documentación as-built aprobados.</t>
  </si>
  <si>
    <t>5.0</t>
  </si>
  <si>
    <t>Infraestructura física y equipamiento TI</t>
  </si>
  <si>
    <t>Terreno preparado, equipos instalados, respaldo local, seguridad física y mesa de ayuda.</t>
  </si>
  <si>
    <t>5.1</t>
  </si>
  <si>
    <t>Contratar experto en infraestructura</t>
  </si>
  <si>
    <t>Experto contratado con alcance técnico de infraestructura.</t>
  </si>
  <si>
    <t>5.2</t>
  </si>
  <si>
    <t>Contratar personal necesario para preparar el terreno</t>
  </si>
  <si>
    <t>Personal operativo asignado para adecuaciones físicas.</t>
  </si>
  <si>
    <t>5.3</t>
  </si>
  <si>
    <t>Espacios técnicos preparados para racks, energía, cableado y equipos.</t>
  </si>
  <si>
    <t>5.4</t>
  </si>
  <si>
    <t>Instalación de racks y gabinetes</t>
  </si>
  <si>
    <t>Racks/gabinetes instalados, seguros y con distribución aprobada.</t>
  </si>
  <si>
    <t>5.5</t>
  </si>
  <si>
    <t>Instalación de UPS y protección eléctrica</t>
  </si>
  <si>
    <t>UPS y protecciones instaladas, probadas y documentadas.</t>
  </si>
  <si>
    <t>5.6</t>
  </si>
  <si>
    <t>Equipos, puertos, cables y gabinetes etiquetados.</t>
  </si>
  <si>
    <t>5.7</t>
  </si>
  <si>
    <t>Instalación de equipamiento en tienda</t>
  </si>
  <si>
    <t>Terminales POS, lectores, impresoras, balanzas y equipos de almacén/oficina instalados.</t>
  </si>
  <si>
    <t>5.8</t>
  </si>
  <si>
    <t>Respaldo local y continuidad</t>
  </si>
  <si>
    <t>Equipo edge/local y repositorio de respaldo local operativo.</t>
  </si>
  <si>
    <t>5.9</t>
  </si>
  <si>
    <t>Seguridad física de TI</t>
  </si>
  <si>
    <t>Señalética, controles de acceso a áreas críticas e infraestructura de protección instalados.</t>
  </si>
  <si>
    <t>5.10</t>
  </si>
  <si>
    <t>Plan de mantenimiento, mesa de ayuda y escalamiento</t>
  </si>
  <si>
    <t>Plan de mantenimiento, matriz de escalamiento, SLA internos y manual de soporte.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</si>
</sst>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b/>
      <sz val="11"/>
      <color rgb="FFCCCCCC"/>
      <name val="Arial"/>
    </font>
    <font>
      <b/>
      <sz val="10"/>
      <color rgb="FF000000"/>
      <name val="Arial"/>
    </font>
    <font>
      <b/>
      <sz val="10"/>
      <color rgb="FF6FA8DC"/>
      <name val="Arial"/>
    </font>
    <font>
      <sz val="10"/>
      <name val="Arial"/>
    </font>
    <font>
      <i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1F77B4"/>
      </patternFill>
    </fill>
    <fill>
      <patternFill patternType="solid">
        <fgColor rgb="FFD6EAF8"/>
      </patternFill>
    </fill>
    <fill>
      <patternFill patternType="solid">
        <fgColor rgb="FF5DADE2"/>
      </patternFill>
    </fill>
    <fill>
      <patternFill patternType="solid">
        <fgColor rgb="FFEAF2F8"/>
      </patternFill>
    </fill>
  </fills>
  <borders count="3">
    <border>
      <left/>
      <right/>
      <top/>
      <bottom/>
      <diagonal/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6" fillId="4" borderId="0" xfId="0" applyFont="1" applyFill="1" applyAlignment="1">
      <alignment vertical="center" wrapText="1"/>
    </xf>
    <xf numFmtId="164" fontId="0" fillId="0" borderId="0" xfId="0" applyNumberFormat="1" applyAlignment="1">
      <alignment wrapText="1"/>
    </xf>
    <xf numFmtId="0" fontId="7" fillId="0" borderId="0" xfId="0" applyFont="1" applyAlignment="1">
      <alignment horizontal="center" wrapText="1"/>
    </xf>
    <xf numFmtId="14" fontId="5" fillId="0" borderId="1" xfId="0" applyNumberFormat="1" applyFont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5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vertical="top" wrapText="1"/>
    </xf>
    <xf numFmtId="17" fontId="8" fillId="0" borderId="2" xfId="0" applyNumberFormat="1" applyFont="1" applyBorder="1" applyAlignment="1">
      <alignment vertical="top" wrapText="1"/>
    </xf>
    <xf numFmtId="164" fontId="8" fillId="0" borderId="2" xfId="0" applyNumberFormat="1" applyFont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9" fillId="6" borderId="0" xfId="0" applyFont="1" applyFill="1" applyAlignment="1">
      <alignment vertical="top" wrapText="1"/>
    </xf>
    <xf numFmtId="0" fontId="6" fillId="5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bgColor rgb="FFFADBD8"/>
        </patternFill>
      </fill>
    </dxf>
    <dxf>
      <fill>
        <patternFill patternType="solid">
          <bgColor rgb="FFFCF3CF"/>
        </patternFill>
      </fill>
    </dxf>
    <dxf>
      <fill>
        <patternFill patternType="solid">
          <bgColor rgb="FFD5F5E3"/>
        </patternFill>
      </fill>
    </dxf>
    <dxf>
      <fill>
        <patternFill patternType="solid">
          <bgColor rgb="FFD5F5E3"/>
        </patternFill>
      </fill>
    </dxf>
    <dxf>
      <fill>
        <patternFill patternType="solid">
          <bgColor rgb="FFFCF3CF"/>
        </patternFill>
      </fill>
    </dxf>
    <dxf>
      <fill>
        <patternFill patternType="solid">
          <bgColor rgb="FFFADB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BO"/>
              <a:t>Requisitos trazados por componente EDT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Requisitos trazados</c:v>
          </c:tx>
          <c:invertIfNegative val="1"/>
          <c:cat>
            <c:strRef>
              <c:f>'[1]Resumen EDT final'!$A$4:$A$8</c:f>
              <c:strCache>
                <c:ptCount val="5"/>
                <c:pt idx="0">
                  <c:v>Cloud</c:v>
                </c:pt>
                <c:pt idx="1">
                  <c:v>Adquisiciones</c:v>
                </c:pt>
                <c:pt idx="2">
                  <c:v>Software</c:v>
                </c:pt>
                <c:pt idx="3">
                  <c:v>Redes</c:v>
                </c:pt>
                <c:pt idx="4">
                  <c:v>Infraestructura</c:v>
                </c:pt>
              </c:strCache>
            </c:strRef>
          </c:cat>
          <c:val>
            <c:numRef>
              <c:f>'[1]Resumen EDT final'!$B$4:$B$8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14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6-408E-BA00-320953D9A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4D0078B4-B313-437B-9C79-B1FDFE60F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GitHub\PlanificacionEstrategiaTIHipermaxi\A06%20-%20Matriz%20de%20trazabilidad%202.xlsx" TargetMode="External"/><Relationship Id="rId1" Type="http://schemas.openxmlformats.org/officeDocument/2006/relationships/externalLinkPath" Target="A06%20-%20Matriz%20de%20trazabilidad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ción del proyecto"/>
      <sheetName val="Matriz de trazabilidad"/>
      <sheetName val="Resumen EDT final"/>
      <sheetName val="Catálogo EDT final"/>
    </sheetNames>
    <sheetDataSet>
      <sheetData sheetId="0"/>
      <sheetData sheetId="1">
        <row r="4">
          <cell r="B4" t="str">
            <v>Componente EDT</v>
          </cell>
          <cell r="I4" t="str">
            <v>Prioridad</v>
          </cell>
          <cell r="J4" t="str">
            <v>Estado actual</v>
          </cell>
        </row>
        <row r="5">
          <cell r="B5" t="str">
            <v>Cloud</v>
          </cell>
          <cell r="I5" t="str">
            <v>Alta</v>
          </cell>
          <cell r="J5" t="str">
            <v>Aprobado</v>
          </cell>
        </row>
        <row r="6">
          <cell r="B6" t="str">
            <v>Cloud</v>
          </cell>
          <cell r="I6" t="str">
            <v>Alta</v>
          </cell>
          <cell r="J6" t="str">
            <v>Aprobado</v>
          </cell>
        </row>
        <row r="7">
          <cell r="B7" t="str">
            <v>Cloud</v>
          </cell>
          <cell r="I7" t="str">
            <v>Alta</v>
          </cell>
          <cell r="J7" t="str">
            <v>Aprobado</v>
          </cell>
        </row>
        <row r="8">
          <cell r="B8" t="str">
            <v>Cloud</v>
          </cell>
          <cell r="I8" t="str">
            <v>Alta</v>
          </cell>
          <cell r="J8" t="str">
            <v>Aprobado</v>
          </cell>
        </row>
        <row r="9">
          <cell r="B9" t="str">
            <v>Cloud</v>
          </cell>
          <cell r="I9" t="str">
            <v>Alta</v>
          </cell>
          <cell r="J9" t="str">
            <v>Aprobado</v>
          </cell>
        </row>
        <row r="10">
          <cell r="B10" t="str">
            <v>Cloud</v>
          </cell>
          <cell r="I10" t="str">
            <v>Alta</v>
          </cell>
          <cell r="J10" t="str">
            <v>Aprobado</v>
          </cell>
        </row>
        <row r="11">
          <cell r="B11" t="str">
            <v>Adquisiciones</v>
          </cell>
          <cell r="I11" t="str">
            <v>Alta</v>
          </cell>
          <cell r="J11" t="str">
            <v>Aprobado</v>
          </cell>
        </row>
        <row r="12">
          <cell r="B12" t="str">
            <v>Adquisiciones</v>
          </cell>
          <cell r="I12" t="str">
            <v>Alta</v>
          </cell>
          <cell r="J12" t="str">
            <v>Aprobado</v>
          </cell>
        </row>
        <row r="13">
          <cell r="B13" t="str">
            <v>Adquisiciones</v>
          </cell>
          <cell r="I13" t="str">
            <v>Alta</v>
          </cell>
          <cell r="J13" t="str">
            <v>Aprobado</v>
          </cell>
        </row>
        <row r="14">
          <cell r="B14" t="str">
            <v>Adquisiciones</v>
          </cell>
          <cell r="I14" t="str">
            <v>Media</v>
          </cell>
          <cell r="J14" t="str">
            <v>Aprobado</v>
          </cell>
        </row>
        <row r="15">
          <cell r="B15" t="str">
            <v>Software</v>
          </cell>
          <cell r="I15" t="str">
            <v>Alta</v>
          </cell>
          <cell r="J15" t="str">
            <v>Aprobado</v>
          </cell>
        </row>
        <row r="16">
          <cell r="B16" t="str">
            <v>Software</v>
          </cell>
          <cell r="I16" t="str">
            <v>Alta</v>
          </cell>
          <cell r="J16" t="str">
            <v>Aprobado</v>
          </cell>
        </row>
        <row r="17">
          <cell r="B17" t="str">
            <v>Software</v>
          </cell>
          <cell r="I17" t="str">
            <v>Alta</v>
          </cell>
          <cell r="J17" t="str">
            <v>Aprobado</v>
          </cell>
        </row>
        <row r="18">
          <cell r="B18" t="str">
            <v>Software</v>
          </cell>
          <cell r="I18" t="str">
            <v>Alta</v>
          </cell>
          <cell r="J18" t="str">
            <v>Aprobado</v>
          </cell>
        </row>
        <row r="19">
          <cell r="B19" t="str">
            <v>Software</v>
          </cell>
          <cell r="I19" t="str">
            <v>Alta</v>
          </cell>
          <cell r="J19" t="str">
            <v>Aprobado</v>
          </cell>
        </row>
        <row r="20">
          <cell r="B20" t="str">
            <v>Software</v>
          </cell>
          <cell r="I20" t="str">
            <v>Alta</v>
          </cell>
          <cell r="J20" t="str">
            <v>Aprobado</v>
          </cell>
        </row>
        <row r="21">
          <cell r="B21" t="str">
            <v>Software</v>
          </cell>
          <cell r="I21" t="str">
            <v>Alta</v>
          </cell>
          <cell r="J21" t="str">
            <v>Aprobado</v>
          </cell>
        </row>
        <row r="22">
          <cell r="B22" t="str">
            <v>Software</v>
          </cell>
          <cell r="I22" t="str">
            <v>Alta</v>
          </cell>
          <cell r="J22" t="str">
            <v>Aprobado</v>
          </cell>
        </row>
        <row r="23">
          <cell r="B23" t="str">
            <v>Software</v>
          </cell>
          <cell r="I23" t="str">
            <v>Media</v>
          </cell>
          <cell r="J23" t="str">
            <v>Aprobado</v>
          </cell>
        </row>
        <row r="24">
          <cell r="B24" t="str">
            <v>Software</v>
          </cell>
          <cell r="I24" t="str">
            <v>Alta</v>
          </cell>
          <cell r="J24" t="str">
            <v>Aprobado</v>
          </cell>
        </row>
        <row r="25">
          <cell r="B25" t="str">
            <v>Software</v>
          </cell>
          <cell r="I25" t="str">
            <v>Alta</v>
          </cell>
          <cell r="J25" t="str">
            <v>Aprobado</v>
          </cell>
        </row>
        <row r="26">
          <cell r="B26" t="str">
            <v>Software</v>
          </cell>
          <cell r="I26" t="str">
            <v>Alta</v>
          </cell>
          <cell r="J26" t="str">
            <v>Aprobado</v>
          </cell>
        </row>
        <row r="27">
          <cell r="B27" t="str">
            <v>Software</v>
          </cell>
          <cell r="I27" t="str">
            <v>Alta</v>
          </cell>
          <cell r="J27" t="str">
            <v>Aprobado</v>
          </cell>
        </row>
        <row r="28">
          <cell r="B28" t="str">
            <v>Software</v>
          </cell>
          <cell r="I28" t="str">
            <v>Alta</v>
          </cell>
          <cell r="J28" t="str">
            <v>Aprobado</v>
          </cell>
        </row>
        <row r="29">
          <cell r="B29" t="str">
            <v>Redes</v>
          </cell>
          <cell r="I29" t="str">
            <v>Alta</v>
          </cell>
          <cell r="J29" t="str">
            <v>Aprobado</v>
          </cell>
        </row>
        <row r="30">
          <cell r="B30" t="str">
            <v>Redes</v>
          </cell>
          <cell r="I30" t="str">
            <v>Alta</v>
          </cell>
          <cell r="J30" t="str">
            <v>Aprobado</v>
          </cell>
        </row>
        <row r="31">
          <cell r="B31" t="str">
            <v>Redes</v>
          </cell>
          <cell r="I31" t="str">
            <v>Media</v>
          </cell>
          <cell r="J31" t="str">
            <v>Aprobado</v>
          </cell>
        </row>
        <row r="32">
          <cell r="B32" t="str">
            <v>Redes</v>
          </cell>
          <cell r="I32" t="str">
            <v>Alta</v>
          </cell>
          <cell r="J32" t="str">
            <v>Aprobado</v>
          </cell>
        </row>
        <row r="33">
          <cell r="B33" t="str">
            <v>Redes</v>
          </cell>
          <cell r="I33" t="str">
            <v>Alta</v>
          </cell>
          <cell r="J33" t="str">
            <v>Aprobado</v>
          </cell>
        </row>
        <row r="34">
          <cell r="B34" t="str">
            <v>Redes</v>
          </cell>
          <cell r="I34" t="str">
            <v>Media</v>
          </cell>
          <cell r="J34" t="str">
            <v>Aprobado</v>
          </cell>
        </row>
        <row r="35">
          <cell r="B35" t="str">
            <v>Redes</v>
          </cell>
          <cell r="I35" t="str">
            <v>Alta</v>
          </cell>
          <cell r="J35" t="str">
            <v>Aprobado</v>
          </cell>
        </row>
        <row r="36">
          <cell r="B36" t="str">
            <v>Redes</v>
          </cell>
          <cell r="I36" t="str">
            <v>Alta</v>
          </cell>
          <cell r="J36" t="str">
            <v>Aprobado</v>
          </cell>
        </row>
        <row r="37">
          <cell r="B37" t="str">
            <v>Redes</v>
          </cell>
          <cell r="I37" t="str">
            <v>Alta</v>
          </cell>
          <cell r="J37" t="str">
            <v>Aprobado</v>
          </cell>
        </row>
        <row r="38">
          <cell r="B38" t="str">
            <v>Redes</v>
          </cell>
          <cell r="I38" t="str">
            <v>Alta</v>
          </cell>
          <cell r="J38" t="str">
            <v>Aprobado</v>
          </cell>
        </row>
        <row r="39">
          <cell r="B39" t="str">
            <v>Infraestructura</v>
          </cell>
          <cell r="I39" t="str">
            <v>Alta</v>
          </cell>
          <cell r="J39" t="str">
            <v>Aprobado</v>
          </cell>
        </row>
        <row r="40">
          <cell r="B40" t="str">
            <v>Infraestructura</v>
          </cell>
          <cell r="I40" t="str">
            <v>Media</v>
          </cell>
          <cell r="J40" t="str">
            <v>Aprobado</v>
          </cell>
        </row>
        <row r="41">
          <cell r="B41" t="str">
            <v>Infraestructura</v>
          </cell>
          <cell r="I41" t="str">
            <v>Alta</v>
          </cell>
          <cell r="J41" t="str">
            <v>Aprobado</v>
          </cell>
        </row>
        <row r="42">
          <cell r="B42" t="str">
            <v>Infraestructura</v>
          </cell>
          <cell r="I42" t="str">
            <v>Alta</v>
          </cell>
          <cell r="J42" t="str">
            <v>Aprobado</v>
          </cell>
        </row>
        <row r="43">
          <cell r="B43" t="str">
            <v>Infraestructura</v>
          </cell>
          <cell r="I43" t="str">
            <v>Alta</v>
          </cell>
          <cell r="J43" t="str">
            <v>Aprobado</v>
          </cell>
        </row>
        <row r="44">
          <cell r="B44" t="str">
            <v>Infraestructura</v>
          </cell>
          <cell r="I44" t="str">
            <v>Media</v>
          </cell>
          <cell r="J44" t="str">
            <v>Aprobado</v>
          </cell>
        </row>
        <row r="45">
          <cell r="B45" t="str">
            <v>Infraestructura</v>
          </cell>
          <cell r="I45" t="str">
            <v>Alta</v>
          </cell>
          <cell r="J45" t="str">
            <v>Aprobado</v>
          </cell>
        </row>
        <row r="46">
          <cell r="B46" t="str">
            <v>Infraestructura</v>
          </cell>
          <cell r="I46" t="str">
            <v>Alta</v>
          </cell>
          <cell r="J46" t="str">
            <v>Aprobado</v>
          </cell>
        </row>
        <row r="47">
          <cell r="B47" t="str">
            <v>Infraestructura</v>
          </cell>
          <cell r="I47" t="str">
            <v>Alta</v>
          </cell>
          <cell r="J47" t="str">
            <v>Aprobado</v>
          </cell>
        </row>
        <row r="48">
          <cell r="B48" t="str">
            <v>Infraestructura</v>
          </cell>
          <cell r="I48" t="str">
            <v>Alta</v>
          </cell>
          <cell r="J48" t="str">
            <v>Aprobado</v>
          </cell>
        </row>
      </sheetData>
      <sheetData sheetId="2">
        <row r="4">
          <cell r="A4" t="str">
            <v>Cloud</v>
          </cell>
          <cell r="B4">
            <v>6</v>
          </cell>
        </row>
        <row r="5">
          <cell r="A5" t="str">
            <v>Adquisiciones</v>
          </cell>
          <cell r="B5">
            <v>4</v>
          </cell>
        </row>
        <row r="6">
          <cell r="A6" t="str">
            <v>Software</v>
          </cell>
          <cell r="B6">
            <v>14</v>
          </cell>
        </row>
        <row r="7">
          <cell r="A7" t="str">
            <v>Redes</v>
          </cell>
          <cell r="B7">
            <v>10</v>
          </cell>
        </row>
        <row r="8">
          <cell r="A8" t="str">
            <v>Infraestructura</v>
          </cell>
          <cell r="B8">
            <v>10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7E5CA-7C61-4AE1-BFD5-C872E67294CA}" name="MatrizTrazabilidadEDTFinal" displayName="MatrizTrazabilidadEDTFinal" ref="A4:M48" headerRowDxfId="1">
  <tableColumns count="13">
    <tableColumn id="1" xr3:uid="{C4B60E98-1465-4382-A9D7-C4BF6C97FCD9}" name="ID del requerimiento"/>
    <tableColumn id="2" xr3:uid="{74BB6170-3BB6-42EB-8A8C-03326E591DA3}" name="Componente EDT"/>
    <tableColumn id="3" xr3:uid="{786B6588-FF2B-4157-AA8B-8DBF7550A274}" name="Entregable / paquete EDT"/>
    <tableColumn id="4" xr3:uid="{8BA7D791-F53C-4693-8547-CC3B30E39360}" name="Descripción del requerimiento"/>
    <tableColumn id="5" xr3:uid="{05C07D68-70B4-4636-A8C5-A953CEE537AE}" name="Sustento de inclusión"/>
    <tableColumn id="6" xr3:uid="{AFA0973D-F063-4CF9-A5B8-D9AD91C2ED82}" name="Fecha de inclusión"/>
    <tableColumn id="7" xr3:uid="{E11109E8-5328-450D-8DA3-44F46ED66069}" name="Propietario"/>
    <tableColumn id="8" xr3:uid="{468552FF-1280-482B-B2CF-D65A7E0EB0FF}" name="Fuente"/>
    <tableColumn id="9" xr3:uid="{7B6FC6C6-8152-4F17-B094-E8B15ABB2CE9}" name="Prioridad"/>
    <tableColumn id="10" xr3:uid="{B63ADD13-F619-4723-BD02-72510CE84BFA}" name="Estado actual"/>
    <tableColumn id="11" xr3:uid="{D4D14126-4A7D-4D98-8BAF-AB4D232B2990}" name="Criterio de aceptación"/>
    <tableColumn id="12" xr3:uid="{B19D44B7-FB69-4413-A281-7E23FC6425A0}" name="Evidencia requerida"/>
    <tableColumn id="13" xr3:uid="{1496F009-E5A7-4878-BD32-01E70326171E}" name="Entregable del WBS">
      <calculatedColumnFormula>C5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ABA8C2-9624-4887-8AAB-C66B098A980A}" name="ResumenTrazabilidadEDT" displayName="ResumenTrazabilidadEDT" ref="A3:G8" headerRowDxfId="0">
  <tableColumns count="7">
    <tableColumn id="1" xr3:uid="{D2C935B1-0C7B-4428-8E7F-28E01AF23265}" name="Componente EDT"/>
    <tableColumn id="2" xr3:uid="{999723B3-44F9-48BC-917C-D4D4F5E1826F}" name="Requisitos trazados">
      <calculatedColumnFormula>COUNTIF('[1]Matriz de trazabilidad'!$B:$B,A4)</calculatedColumnFormula>
    </tableColumn>
    <tableColumn id="3" xr3:uid="{9A91E5CD-843A-411B-95E4-0D391AE4067C}" name="Alta">
      <calculatedColumnFormula>COUNTIFS('[1]Matriz de trazabilidad'!$B:$B,A4,'[1]Matriz de trazabilidad'!$I:$I,"Alta")</calculatedColumnFormula>
    </tableColumn>
    <tableColumn id="4" xr3:uid="{1A8C37B4-BA6E-47AD-A09C-DFFAF94A3D5F}" name="Media">
      <calculatedColumnFormula>COUNTIFS('[1]Matriz de trazabilidad'!$B:$B,A4,'[1]Matriz de trazabilidad'!$I:$I,"Media")</calculatedColumnFormula>
    </tableColumn>
    <tableColumn id="5" xr3:uid="{1B7367CF-B8BC-4B10-8EF9-6E37BC91D059}" name="Baja">
      <calculatedColumnFormula>COUNTIFS('[1]Matriz de trazabilidad'!$B:$B,A4,'[1]Matriz de trazabilidad'!$I:$I,"Baja")</calculatedColumnFormula>
    </tableColumn>
    <tableColumn id="6" xr3:uid="{A46CA647-44EC-4F90-AD05-07C69F6C9E19}" name="Aprobados">
      <calculatedColumnFormula>COUNTIFS('[1]Matriz de trazabilidad'!$B:$B,A4,'[1]Matriz de trazabilidad'!$J:$J,"Aprobado")</calculatedColumnFormula>
    </tableColumn>
    <tableColumn id="7" xr3:uid="{C3D20545-6637-4AB4-A389-C5EE8012992E}" name="Entregable principal esper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2546CA-2672-4178-91A2-C3CB0AC17099}" name="CatalogoEDTFinal" displayName="CatalogoEDTFinal" ref="A3:E43">
  <tableColumns count="5">
    <tableColumn id="1" xr3:uid="{8B5D8D12-7D39-43C2-B128-047D75DF1BC2}" name="Código WBS"/>
    <tableColumn id="2" xr3:uid="{6815FCD5-EBEE-49CB-9AC2-39962E7F76FB}" name="Componente EDT"/>
    <tableColumn id="3" xr3:uid="{ABC3D44B-F7B7-4989-AFF5-A2BDD5FEF9EE}" name="Entregable / paquete"/>
    <tableColumn id="4" xr3:uid="{82A6B1BA-8195-4E68-AB23-C732EBC8DA26}" name="Tipo"/>
    <tableColumn id="5" xr3:uid="{B2B161BF-2225-4C4C-925E-17C8BCD850DF}" name="Resultado verific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3779-BB0E-4D6F-B4BD-AAD0E3A90D65}">
  <dimension ref="A1:F8"/>
  <sheetViews>
    <sheetView workbookViewId="0">
      <selection sqref="A1:XFD1048576"/>
    </sheetView>
  </sheetViews>
  <sheetFormatPr baseColWidth="10" defaultColWidth="14.44140625" defaultRowHeight="14.4" x14ac:dyDescent="0.3"/>
  <cols>
    <col min="1" max="1" width="22" customWidth="1"/>
    <col min="2" max="2" width="48" customWidth="1"/>
    <col min="3" max="3" width="4" customWidth="1"/>
    <col min="4" max="4" width="24" customWidth="1"/>
    <col min="5" max="5" width="42" customWidth="1"/>
    <col min="6" max="6" width="14" customWidth="1"/>
  </cols>
  <sheetData>
    <row r="1" spans="1:6" ht="17.399999999999999" x14ac:dyDescent="0.3">
      <c r="A1" s="1" t="s">
        <v>0</v>
      </c>
      <c r="B1" s="1"/>
      <c r="C1" s="1"/>
      <c r="D1" s="1"/>
      <c r="E1" s="1"/>
      <c r="F1" s="1"/>
    </row>
    <row r="2" spans="1:6" ht="27.6" x14ac:dyDescent="0.3">
      <c r="A2" s="2" t="s">
        <v>1</v>
      </c>
      <c r="B2" s="2" t="s">
        <v>2</v>
      </c>
      <c r="C2" s="3"/>
      <c r="D2" s="3" t="s">
        <v>3</v>
      </c>
      <c r="E2" s="3" t="s">
        <v>4</v>
      </c>
      <c r="F2" s="3" t="s">
        <v>5</v>
      </c>
    </row>
    <row r="3" spans="1:6" ht="31.2" x14ac:dyDescent="0.3">
      <c r="A3" s="4" t="s">
        <v>6</v>
      </c>
      <c r="B3" s="5" t="s">
        <v>7</v>
      </c>
      <c r="C3" s="6"/>
      <c r="D3" s="7" t="s">
        <v>8</v>
      </c>
      <c r="E3" s="8">
        <v>46082</v>
      </c>
      <c r="F3" s="9"/>
    </row>
    <row r="4" spans="1:6" ht="15.6" x14ac:dyDescent="0.3">
      <c r="A4" s="4" t="s">
        <v>9</v>
      </c>
      <c r="B4" s="10" t="s">
        <v>7</v>
      </c>
      <c r="C4" s="6"/>
      <c r="D4" s="7" t="s">
        <v>10</v>
      </c>
      <c r="E4" s="6" t="s">
        <v>7</v>
      </c>
      <c r="F4" s="6"/>
    </row>
    <row r="5" spans="1:6" ht="31.2" x14ac:dyDescent="0.3">
      <c r="A5" s="4" t="s">
        <v>11</v>
      </c>
      <c r="B5" s="5" t="s">
        <v>12</v>
      </c>
      <c r="C5" s="6"/>
      <c r="D5" s="7" t="s">
        <v>13</v>
      </c>
      <c r="E5" s="6" t="s">
        <v>14</v>
      </c>
      <c r="F5" s="6"/>
    </row>
    <row r="6" spans="1:6" ht="28.8" x14ac:dyDescent="0.3">
      <c r="A6" s="4" t="s">
        <v>15</v>
      </c>
      <c r="B6" s="5" t="s">
        <v>16</v>
      </c>
      <c r="C6" s="6"/>
      <c r="D6" s="7" t="s">
        <v>17</v>
      </c>
      <c r="E6" s="6" t="s">
        <v>18</v>
      </c>
      <c r="F6" s="6"/>
    </row>
    <row r="7" spans="1:6" ht="28.8" x14ac:dyDescent="0.3">
      <c r="A7" s="4" t="s">
        <v>19</v>
      </c>
      <c r="B7" s="5" t="s">
        <v>20</v>
      </c>
      <c r="C7" s="6"/>
      <c r="D7" s="7" t="s">
        <v>21</v>
      </c>
      <c r="E7" s="6" t="s">
        <v>22</v>
      </c>
      <c r="F7" s="6"/>
    </row>
    <row r="8" spans="1:6" ht="28.8" x14ac:dyDescent="0.3">
      <c r="A8" s="7" t="s">
        <v>23</v>
      </c>
      <c r="B8" s="6" t="s">
        <v>24</v>
      </c>
      <c r="C8" s="6"/>
      <c r="D8" s="7" t="s">
        <v>25</v>
      </c>
      <c r="E8" s="6" t="s">
        <v>26</v>
      </c>
      <c r="F8" s="6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19E8-FCC8-410E-B527-F1C556D87F93}">
  <dimension ref="A1:M48"/>
  <sheetViews>
    <sheetView workbookViewId="0">
      <selection activeCell="C9" sqref="C9"/>
    </sheetView>
  </sheetViews>
  <sheetFormatPr baseColWidth="10" defaultColWidth="14.44140625" defaultRowHeight="14.4" x14ac:dyDescent="0.3"/>
  <cols>
    <col min="1" max="1" width="14" style="6" customWidth="1"/>
    <col min="2" max="2" width="16" style="6" customWidth="1"/>
    <col min="3" max="3" width="34" style="6" customWidth="1"/>
    <col min="4" max="5" width="45" style="6" customWidth="1"/>
    <col min="6" max="6" width="14" style="6" customWidth="1"/>
    <col min="7" max="7" width="24" style="6" customWidth="1"/>
    <col min="8" max="8" width="32" style="6" customWidth="1"/>
    <col min="9" max="9" width="12" style="6" customWidth="1"/>
    <col min="10" max="10" width="14" style="6" customWidth="1"/>
    <col min="11" max="11" width="45" customWidth="1"/>
    <col min="12" max="13" width="34" customWidth="1"/>
    <col min="14" max="16384" width="14.44140625" style="6"/>
  </cols>
  <sheetData>
    <row r="1" spans="1:13" ht="24" customHeight="1" x14ac:dyDescent="0.3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1"/>
      <c r="L1" s="11"/>
      <c r="M1" s="11"/>
    </row>
    <row r="2" spans="1:13" ht="12.6" customHeight="1" x14ac:dyDescent="0.3">
      <c r="A2" s="12" t="s">
        <v>28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  <c r="M2" s="13" t="s">
        <v>5</v>
      </c>
    </row>
    <row r="3" spans="1:13" ht="12.6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3" ht="28.8" customHeight="1" x14ac:dyDescent="0.3">
      <c r="A4" s="15" t="s">
        <v>29</v>
      </c>
      <c r="B4" s="15" t="s">
        <v>30</v>
      </c>
      <c r="C4" s="15" t="s">
        <v>31</v>
      </c>
      <c r="D4" s="15" t="s">
        <v>32</v>
      </c>
      <c r="E4" s="15" t="s">
        <v>33</v>
      </c>
      <c r="F4" s="15" t="s">
        <v>34</v>
      </c>
      <c r="G4" s="15" t="s">
        <v>35</v>
      </c>
      <c r="H4" s="15" t="s">
        <v>36</v>
      </c>
      <c r="I4" s="15" t="s">
        <v>37</v>
      </c>
      <c r="J4" s="15" t="s">
        <v>38</v>
      </c>
      <c r="K4" s="15" t="s">
        <v>39</v>
      </c>
      <c r="L4" s="15" t="s">
        <v>40</v>
      </c>
      <c r="M4" s="15" t="s">
        <v>41</v>
      </c>
    </row>
    <row r="5" spans="1:13" ht="52.8" customHeight="1" x14ac:dyDescent="0.3">
      <c r="A5" s="16" t="s">
        <v>42</v>
      </c>
      <c r="B5" s="16" t="s">
        <v>43</v>
      </c>
      <c r="C5" s="16" t="s">
        <v>44</v>
      </c>
      <c r="D5" s="17" t="s">
        <v>45</v>
      </c>
      <c r="E5" s="16" t="s">
        <v>46</v>
      </c>
      <c r="F5" s="18">
        <v>46082</v>
      </c>
      <c r="G5" s="16" t="s">
        <v>47</v>
      </c>
      <c r="H5" s="16" t="s">
        <v>48</v>
      </c>
      <c r="I5" s="16" t="s">
        <v>49</v>
      </c>
      <c r="J5" s="16" t="s">
        <v>50</v>
      </c>
      <c r="K5" s="19" t="s">
        <v>51</v>
      </c>
      <c r="L5" s="19" t="s">
        <v>52</v>
      </c>
      <c r="M5" s="19" t="str">
        <f t="shared" ref="M5:M48" si="0">C5</f>
        <v>1.1 Contratar servicios de asesoría de cloud</v>
      </c>
    </row>
    <row r="6" spans="1:13" ht="52.8" customHeight="1" x14ac:dyDescent="0.3">
      <c r="A6" s="16" t="s">
        <v>53</v>
      </c>
      <c r="B6" s="16" t="s">
        <v>43</v>
      </c>
      <c r="C6" s="16" t="s">
        <v>54</v>
      </c>
      <c r="D6" s="17" t="s">
        <v>55</v>
      </c>
      <c r="E6" s="16" t="s">
        <v>56</v>
      </c>
      <c r="F6" s="18">
        <v>46082</v>
      </c>
      <c r="G6" s="16" t="s">
        <v>57</v>
      </c>
      <c r="H6" s="16" t="s">
        <v>58</v>
      </c>
      <c r="I6" s="16" t="s">
        <v>49</v>
      </c>
      <c r="J6" s="16" t="s">
        <v>50</v>
      </c>
      <c r="K6" s="19" t="s">
        <v>59</v>
      </c>
      <c r="L6" s="19" t="s">
        <v>60</v>
      </c>
      <c r="M6" s="19" t="str">
        <f t="shared" si="0"/>
        <v>1.2 Contratar servicios cloud</v>
      </c>
    </row>
    <row r="7" spans="1:13" ht="52.8" customHeight="1" x14ac:dyDescent="0.3">
      <c r="A7" s="16" t="s">
        <v>61</v>
      </c>
      <c r="B7" s="16" t="s">
        <v>43</v>
      </c>
      <c r="C7" s="16" t="s">
        <v>62</v>
      </c>
      <c r="D7" s="17" t="s">
        <v>63</v>
      </c>
      <c r="E7" s="16" t="s">
        <v>64</v>
      </c>
      <c r="F7" s="18">
        <v>46082</v>
      </c>
      <c r="G7" s="16" t="s">
        <v>65</v>
      </c>
      <c r="H7" s="16" t="s">
        <v>66</v>
      </c>
      <c r="I7" s="16" t="s">
        <v>49</v>
      </c>
      <c r="J7" s="16" t="s">
        <v>50</v>
      </c>
      <c r="K7" s="19" t="s">
        <v>67</v>
      </c>
      <c r="L7" s="19" t="s">
        <v>68</v>
      </c>
      <c r="M7" s="19" t="str">
        <f t="shared" si="0"/>
        <v>1.3 Configuración de plan de respaldo y continuidad</v>
      </c>
    </row>
    <row r="8" spans="1:13" ht="52.8" customHeight="1" x14ac:dyDescent="0.3">
      <c r="A8" s="16" t="s">
        <v>69</v>
      </c>
      <c r="B8" s="16" t="s">
        <v>43</v>
      </c>
      <c r="C8" s="16" t="s">
        <v>70</v>
      </c>
      <c r="D8" s="17" t="s">
        <v>71</v>
      </c>
      <c r="E8" s="16" t="s">
        <v>72</v>
      </c>
      <c r="F8" s="18">
        <v>46082</v>
      </c>
      <c r="G8" s="16" t="s">
        <v>73</v>
      </c>
      <c r="H8" s="16" t="s">
        <v>74</v>
      </c>
      <c r="I8" s="16" t="s">
        <v>49</v>
      </c>
      <c r="J8" s="16" t="s">
        <v>50</v>
      </c>
      <c r="K8" s="19" t="s">
        <v>75</v>
      </c>
      <c r="L8" s="19" t="s">
        <v>76</v>
      </c>
      <c r="M8" s="19" t="str">
        <f t="shared" si="0"/>
        <v>1.4 Configuración de ambientes de desarrollo, pruebas, preproducción y producción</v>
      </c>
    </row>
    <row r="9" spans="1:13" ht="52.8" customHeight="1" x14ac:dyDescent="0.3">
      <c r="A9" s="16" t="s">
        <v>77</v>
      </c>
      <c r="B9" s="16" t="s">
        <v>43</v>
      </c>
      <c r="C9" s="16" t="s">
        <v>78</v>
      </c>
      <c r="D9" s="17" t="s">
        <v>79</v>
      </c>
      <c r="E9" s="16" t="s">
        <v>80</v>
      </c>
      <c r="F9" s="18">
        <v>46082</v>
      </c>
      <c r="G9" s="16" t="s">
        <v>81</v>
      </c>
      <c r="H9" s="16" t="s">
        <v>82</v>
      </c>
      <c r="I9" s="16" t="s">
        <v>49</v>
      </c>
      <c r="J9" s="16" t="s">
        <v>50</v>
      </c>
      <c r="K9" s="19" t="s">
        <v>83</v>
      </c>
      <c r="L9" s="19" t="s">
        <v>84</v>
      </c>
      <c r="M9" s="19" t="str">
        <f t="shared" si="0"/>
        <v>1.5 Configuración de servicios cloud</v>
      </c>
    </row>
    <row r="10" spans="1:13" ht="52.8" customHeight="1" x14ac:dyDescent="0.3">
      <c r="A10" s="16" t="s">
        <v>85</v>
      </c>
      <c r="B10" s="16" t="s">
        <v>43</v>
      </c>
      <c r="C10" s="16" t="s">
        <v>86</v>
      </c>
      <c r="D10" s="17" t="s">
        <v>87</v>
      </c>
      <c r="E10" s="16" t="s">
        <v>88</v>
      </c>
      <c r="F10" s="18">
        <v>46082</v>
      </c>
      <c r="G10" s="16" t="s">
        <v>89</v>
      </c>
      <c r="H10" s="16" t="s">
        <v>90</v>
      </c>
      <c r="I10" s="16" t="s">
        <v>49</v>
      </c>
      <c r="J10" s="16" t="s">
        <v>50</v>
      </c>
      <c r="K10" s="19" t="s">
        <v>91</v>
      </c>
      <c r="L10" s="19" t="s">
        <v>92</v>
      </c>
      <c r="M10" s="19" t="str">
        <f t="shared" si="0"/>
        <v>1.6 Seguridad y operación cloud</v>
      </c>
    </row>
    <row r="11" spans="1:13" ht="52.8" customHeight="1" x14ac:dyDescent="0.3">
      <c r="A11" s="16" t="s">
        <v>93</v>
      </c>
      <c r="B11" s="16" t="s">
        <v>94</v>
      </c>
      <c r="C11" s="16" t="s">
        <v>95</v>
      </c>
      <c r="D11" s="17" t="s">
        <v>96</v>
      </c>
      <c r="E11" s="16" t="s">
        <v>97</v>
      </c>
      <c r="F11" s="18">
        <v>46082</v>
      </c>
      <c r="G11" s="16" t="s">
        <v>98</v>
      </c>
      <c r="H11" s="16" t="s">
        <v>99</v>
      </c>
      <c r="I11" s="16" t="s">
        <v>49</v>
      </c>
      <c r="J11" s="16" t="s">
        <v>50</v>
      </c>
      <c r="K11" s="19" t="s">
        <v>100</v>
      </c>
      <c r="L11" s="19" t="s">
        <v>101</v>
      </c>
      <c r="M11" s="19" t="str">
        <f t="shared" si="0"/>
        <v>2.1 Cotizar proveedores</v>
      </c>
    </row>
    <row r="12" spans="1:13" ht="52.8" customHeight="1" x14ac:dyDescent="0.3">
      <c r="A12" s="16" t="s">
        <v>102</v>
      </c>
      <c r="B12" s="16" t="s">
        <v>94</v>
      </c>
      <c r="C12" s="16" t="s">
        <v>103</v>
      </c>
      <c r="D12" s="17" t="s">
        <v>104</v>
      </c>
      <c r="E12" s="16" t="s">
        <v>105</v>
      </c>
      <c r="F12" s="18">
        <v>46082</v>
      </c>
      <c r="G12" s="16" t="s">
        <v>106</v>
      </c>
      <c r="H12" s="16" t="s">
        <v>107</v>
      </c>
      <c r="I12" s="16" t="s">
        <v>49</v>
      </c>
      <c r="J12" s="16" t="s">
        <v>50</v>
      </c>
      <c r="K12" s="19" t="s">
        <v>108</v>
      </c>
      <c r="L12" s="19" t="s">
        <v>109</v>
      </c>
      <c r="M12" s="19" t="str">
        <f t="shared" si="0"/>
        <v>2.2 Elegir proveedores económicamente factibles</v>
      </c>
    </row>
    <row r="13" spans="1:13" ht="52.8" customHeight="1" x14ac:dyDescent="0.3">
      <c r="A13" s="16" t="s">
        <v>110</v>
      </c>
      <c r="B13" s="16" t="s">
        <v>94</v>
      </c>
      <c r="C13" s="16" t="s">
        <v>111</v>
      </c>
      <c r="D13" s="17" t="s">
        <v>112</v>
      </c>
      <c r="E13" s="16" t="s">
        <v>113</v>
      </c>
      <c r="F13" s="18">
        <v>46082</v>
      </c>
      <c r="G13" s="16" t="s">
        <v>114</v>
      </c>
      <c r="H13" s="16" t="s">
        <v>115</v>
      </c>
      <c r="I13" s="16" t="s">
        <v>49</v>
      </c>
      <c r="J13" s="16" t="s">
        <v>50</v>
      </c>
      <c r="K13" s="19" t="s">
        <v>116</v>
      </c>
      <c r="L13" s="19" t="s">
        <v>117</v>
      </c>
      <c r="M13" s="19" t="str">
        <f t="shared" si="0"/>
        <v>2.3 Adquirir materiales y otros</v>
      </c>
    </row>
    <row r="14" spans="1:13" ht="52.8" customHeight="1" x14ac:dyDescent="0.3">
      <c r="A14" s="16" t="s">
        <v>118</v>
      </c>
      <c r="B14" s="16" t="s">
        <v>94</v>
      </c>
      <c r="C14" s="16" t="s">
        <v>111</v>
      </c>
      <c r="D14" s="17" t="s">
        <v>119</v>
      </c>
      <c r="E14" s="16" t="s">
        <v>120</v>
      </c>
      <c r="F14" s="18">
        <v>46082</v>
      </c>
      <c r="G14" s="16" t="s">
        <v>121</v>
      </c>
      <c r="H14" s="16" t="s">
        <v>122</v>
      </c>
      <c r="I14" s="16" t="s">
        <v>123</v>
      </c>
      <c r="J14" s="16" t="s">
        <v>50</v>
      </c>
      <c r="K14" s="19" t="s">
        <v>124</v>
      </c>
      <c r="L14" s="19" t="s">
        <v>125</v>
      </c>
      <c r="M14" s="19" t="str">
        <f t="shared" si="0"/>
        <v>2.3 Adquirir materiales y otros</v>
      </c>
    </row>
    <row r="15" spans="1:13" ht="52.8" customHeight="1" x14ac:dyDescent="0.3">
      <c r="A15" s="16" t="s">
        <v>126</v>
      </c>
      <c r="B15" s="16" t="s">
        <v>127</v>
      </c>
      <c r="C15" s="16" t="s">
        <v>128</v>
      </c>
      <c r="D15" s="17" t="s">
        <v>129</v>
      </c>
      <c r="E15" s="16" t="s">
        <v>130</v>
      </c>
      <c r="F15" s="18">
        <v>46082</v>
      </c>
      <c r="G15" s="16" t="s">
        <v>131</v>
      </c>
      <c r="H15" s="16" t="s">
        <v>132</v>
      </c>
      <c r="I15" s="16" t="s">
        <v>49</v>
      </c>
      <c r="J15" s="16" t="s">
        <v>50</v>
      </c>
      <c r="K15" s="19" t="s">
        <v>133</v>
      </c>
      <c r="L15" s="19" t="s">
        <v>134</v>
      </c>
      <c r="M15" s="19" t="str">
        <f t="shared" si="0"/>
        <v>3.1 Diseño funcional y técnico</v>
      </c>
    </row>
    <row r="16" spans="1:13" ht="52.8" customHeight="1" x14ac:dyDescent="0.3">
      <c r="A16" s="16" t="s">
        <v>135</v>
      </c>
      <c r="B16" s="16" t="s">
        <v>127</v>
      </c>
      <c r="C16" s="16" t="s">
        <v>128</v>
      </c>
      <c r="D16" s="17" t="s">
        <v>136</v>
      </c>
      <c r="E16" s="16" t="s">
        <v>137</v>
      </c>
      <c r="F16" s="18">
        <v>46082</v>
      </c>
      <c r="G16" s="16" t="s">
        <v>138</v>
      </c>
      <c r="H16" s="16" t="s">
        <v>139</v>
      </c>
      <c r="I16" s="16" t="s">
        <v>49</v>
      </c>
      <c r="J16" s="16" t="s">
        <v>50</v>
      </c>
      <c r="K16" s="19" t="s">
        <v>140</v>
      </c>
      <c r="L16" s="19" t="s">
        <v>141</v>
      </c>
      <c r="M16" s="19" t="str">
        <f t="shared" si="0"/>
        <v>3.1 Diseño funcional y técnico</v>
      </c>
    </row>
    <row r="17" spans="1:13" ht="52.8" customHeight="1" x14ac:dyDescent="0.3">
      <c r="A17" s="16" t="s">
        <v>142</v>
      </c>
      <c r="B17" s="16" t="s">
        <v>127</v>
      </c>
      <c r="C17" s="16" t="s">
        <v>128</v>
      </c>
      <c r="D17" s="17" t="s">
        <v>143</v>
      </c>
      <c r="E17" s="16" t="s">
        <v>144</v>
      </c>
      <c r="F17" s="18">
        <v>46082</v>
      </c>
      <c r="G17" s="16" t="s">
        <v>145</v>
      </c>
      <c r="H17" s="16" t="s">
        <v>146</v>
      </c>
      <c r="I17" s="16" t="s">
        <v>49</v>
      </c>
      <c r="J17" s="16" t="s">
        <v>50</v>
      </c>
      <c r="K17" s="19" t="s">
        <v>147</v>
      </c>
      <c r="L17" s="19" t="s">
        <v>148</v>
      </c>
      <c r="M17" s="19" t="str">
        <f t="shared" si="0"/>
        <v>3.1 Diseño funcional y técnico</v>
      </c>
    </row>
    <row r="18" spans="1:13" ht="52.8" customHeight="1" x14ac:dyDescent="0.3">
      <c r="A18" s="16" t="s">
        <v>149</v>
      </c>
      <c r="B18" s="16" t="s">
        <v>127</v>
      </c>
      <c r="C18" s="16" t="s">
        <v>128</v>
      </c>
      <c r="D18" s="17" t="s">
        <v>150</v>
      </c>
      <c r="E18" s="16" t="s">
        <v>151</v>
      </c>
      <c r="F18" s="18">
        <v>46082</v>
      </c>
      <c r="G18" s="16" t="s">
        <v>152</v>
      </c>
      <c r="H18" s="16" t="s">
        <v>153</v>
      </c>
      <c r="I18" s="16" t="s">
        <v>49</v>
      </c>
      <c r="J18" s="16" t="s">
        <v>50</v>
      </c>
      <c r="K18" s="19" t="s">
        <v>154</v>
      </c>
      <c r="L18" s="19" t="s">
        <v>155</v>
      </c>
      <c r="M18" s="19" t="str">
        <f t="shared" si="0"/>
        <v>3.1 Diseño funcional y técnico</v>
      </c>
    </row>
    <row r="19" spans="1:13" ht="52.8" customHeight="1" x14ac:dyDescent="0.3">
      <c r="A19" s="16" t="s">
        <v>156</v>
      </c>
      <c r="B19" s="16" t="s">
        <v>127</v>
      </c>
      <c r="C19" s="16" t="s">
        <v>157</v>
      </c>
      <c r="D19" s="17" t="s">
        <v>158</v>
      </c>
      <c r="E19" s="16" t="s">
        <v>159</v>
      </c>
      <c r="F19" s="18">
        <v>46082</v>
      </c>
      <c r="G19" s="16" t="s">
        <v>160</v>
      </c>
      <c r="H19" s="16" t="s">
        <v>161</v>
      </c>
      <c r="I19" s="16" t="s">
        <v>49</v>
      </c>
      <c r="J19" s="16" t="s">
        <v>50</v>
      </c>
      <c r="K19" s="19" t="s">
        <v>162</v>
      </c>
      <c r="L19" s="19" t="s">
        <v>163</v>
      </c>
      <c r="M19" s="19" t="str">
        <f t="shared" si="0"/>
        <v>3.2 Módulos de operación implementados</v>
      </c>
    </row>
    <row r="20" spans="1:13" ht="52.8" customHeight="1" x14ac:dyDescent="0.3">
      <c r="A20" s="16" t="s">
        <v>164</v>
      </c>
      <c r="B20" s="16" t="s">
        <v>127</v>
      </c>
      <c r="C20" s="16" t="s">
        <v>157</v>
      </c>
      <c r="D20" s="17" t="s">
        <v>165</v>
      </c>
      <c r="E20" s="16" t="s">
        <v>166</v>
      </c>
      <c r="F20" s="18">
        <v>46082</v>
      </c>
      <c r="G20" s="16" t="s">
        <v>167</v>
      </c>
      <c r="H20" s="16" t="s">
        <v>161</v>
      </c>
      <c r="I20" s="16" t="s">
        <v>49</v>
      </c>
      <c r="J20" s="16" t="s">
        <v>50</v>
      </c>
      <c r="K20" s="19" t="s">
        <v>168</v>
      </c>
      <c r="L20" s="19" t="s">
        <v>169</v>
      </c>
      <c r="M20" s="19" t="str">
        <f t="shared" si="0"/>
        <v>3.2 Módulos de operación implementados</v>
      </c>
    </row>
    <row r="21" spans="1:13" ht="52.8" customHeight="1" x14ac:dyDescent="0.3">
      <c r="A21" s="16" t="s">
        <v>170</v>
      </c>
      <c r="B21" s="16" t="s">
        <v>127</v>
      </c>
      <c r="C21" s="16" t="s">
        <v>157</v>
      </c>
      <c r="D21" s="17" t="s">
        <v>171</v>
      </c>
      <c r="E21" s="16" t="s">
        <v>172</v>
      </c>
      <c r="F21" s="18">
        <v>46082</v>
      </c>
      <c r="G21" s="16" t="s">
        <v>173</v>
      </c>
      <c r="H21" s="16" t="s">
        <v>161</v>
      </c>
      <c r="I21" s="16" t="s">
        <v>49</v>
      </c>
      <c r="J21" s="16" t="s">
        <v>50</v>
      </c>
      <c r="K21" s="19" t="s">
        <v>174</v>
      </c>
      <c r="L21" s="19" t="s">
        <v>175</v>
      </c>
      <c r="M21" s="19" t="str">
        <f t="shared" si="0"/>
        <v>3.2 Módulos de operación implementados</v>
      </c>
    </row>
    <row r="22" spans="1:13" ht="52.8" customHeight="1" x14ac:dyDescent="0.3">
      <c r="A22" s="16" t="s">
        <v>176</v>
      </c>
      <c r="B22" s="16" t="s">
        <v>127</v>
      </c>
      <c r="C22" s="16" t="s">
        <v>177</v>
      </c>
      <c r="D22" s="17" t="s">
        <v>178</v>
      </c>
      <c r="E22" s="16" t="s">
        <v>179</v>
      </c>
      <c r="F22" s="18">
        <v>46082</v>
      </c>
      <c r="G22" s="16" t="s">
        <v>180</v>
      </c>
      <c r="H22" s="16" t="s">
        <v>181</v>
      </c>
      <c r="I22" s="16" t="s">
        <v>49</v>
      </c>
      <c r="J22" s="16" t="s">
        <v>50</v>
      </c>
      <c r="K22" s="19" t="s">
        <v>182</v>
      </c>
      <c r="L22" s="19" t="s">
        <v>183</v>
      </c>
      <c r="M22" s="19" t="str">
        <f t="shared" si="0"/>
        <v>3.3 Módulos de gestión implementados</v>
      </c>
    </row>
    <row r="23" spans="1:13" ht="52.8" customHeight="1" x14ac:dyDescent="0.3">
      <c r="A23" s="16" t="s">
        <v>184</v>
      </c>
      <c r="B23" s="16" t="s">
        <v>127</v>
      </c>
      <c r="C23" s="16" t="s">
        <v>177</v>
      </c>
      <c r="D23" s="17" t="s">
        <v>185</v>
      </c>
      <c r="E23" s="16" t="s">
        <v>186</v>
      </c>
      <c r="F23" s="18">
        <v>46082</v>
      </c>
      <c r="G23" s="16" t="s">
        <v>187</v>
      </c>
      <c r="H23" s="16" t="s">
        <v>181</v>
      </c>
      <c r="I23" s="16" t="s">
        <v>123</v>
      </c>
      <c r="J23" s="16" t="s">
        <v>50</v>
      </c>
      <c r="K23" s="19" t="s">
        <v>188</v>
      </c>
      <c r="L23" s="19" t="s">
        <v>189</v>
      </c>
      <c r="M23" s="19" t="str">
        <f t="shared" si="0"/>
        <v>3.3 Módulos de gestión implementados</v>
      </c>
    </row>
    <row r="24" spans="1:13" ht="52.8" customHeight="1" x14ac:dyDescent="0.3">
      <c r="A24" s="16" t="s">
        <v>190</v>
      </c>
      <c r="B24" s="16" t="s">
        <v>127</v>
      </c>
      <c r="C24" s="16" t="s">
        <v>177</v>
      </c>
      <c r="D24" s="17" t="s">
        <v>191</v>
      </c>
      <c r="E24" s="16" t="s">
        <v>192</v>
      </c>
      <c r="F24" s="18">
        <v>46082</v>
      </c>
      <c r="G24" s="16" t="s">
        <v>193</v>
      </c>
      <c r="H24" s="16" t="s">
        <v>181</v>
      </c>
      <c r="I24" s="16" t="s">
        <v>49</v>
      </c>
      <c r="J24" s="16" t="s">
        <v>50</v>
      </c>
      <c r="K24" s="19" t="s">
        <v>194</v>
      </c>
      <c r="L24" s="19" t="s">
        <v>195</v>
      </c>
      <c r="M24" s="19" t="str">
        <f t="shared" si="0"/>
        <v>3.3 Módulos de gestión implementados</v>
      </c>
    </row>
    <row r="25" spans="1:13" ht="52.8" customHeight="1" x14ac:dyDescent="0.3">
      <c r="A25" s="16" t="s">
        <v>196</v>
      </c>
      <c r="B25" s="16" t="s">
        <v>127</v>
      </c>
      <c r="C25" s="16" t="s">
        <v>197</v>
      </c>
      <c r="D25" s="17" t="s">
        <v>198</v>
      </c>
      <c r="E25" s="16" t="s">
        <v>199</v>
      </c>
      <c r="F25" s="18">
        <v>46082</v>
      </c>
      <c r="G25" s="16" t="s">
        <v>200</v>
      </c>
      <c r="H25" s="16" t="s">
        <v>201</v>
      </c>
      <c r="I25" s="16" t="s">
        <v>49</v>
      </c>
      <c r="J25" s="16" t="s">
        <v>50</v>
      </c>
      <c r="K25" s="19" t="s">
        <v>202</v>
      </c>
      <c r="L25" s="19" t="s">
        <v>203</v>
      </c>
      <c r="M25" s="19" t="str">
        <f t="shared" si="0"/>
        <v>3.4 Datos migrados y depurados</v>
      </c>
    </row>
    <row r="26" spans="1:13" ht="52.8" customHeight="1" x14ac:dyDescent="0.3">
      <c r="A26" s="16" t="s">
        <v>204</v>
      </c>
      <c r="B26" s="16" t="s">
        <v>127</v>
      </c>
      <c r="C26" s="16" t="s">
        <v>205</v>
      </c>
      <c r="D26" s="17" t="s">
        <v>206</v>
      </c>
      <c r="E26" s="16" t="s">
        <v>207</v>
      </c>
      <c r="F26" s="18">
        <v>46082</v>
      </c>
      <c r="G26" s="16" t="s">
        <v>208</v>
      </c>
      <c r="H26" s="16" t="s">
        <v>209</v>
      </c>
      <c r="I26" s="16" t="s">
        <v>49</v>
      </c>
      <c r="J26" s="16" t="s">
        <v>50</v>
      </c>
      <c r="K26" s="19" t="s">
        <v>210</v>
      </c>
      <c r="L26" s="19" t="s">
        <v>211</v>
      </c>
      <c r="M26" s="19" t="str">
        <f t="shared" si="0"/>
        <v>3.5 Documentación técnica</v>
      </c>
    </row>
    <row r="27" spans="1:13" ht="52.8" customHeight="1" x14ac:dyDescent="0.3">
      <c r="A27" s="16" t="s">
        <v>212</v>
      </c>
      <c r="B27" s="16" t="s">
        <v>127</v>
      </c>
      <c r="C27" s="16" t="s">
        <v>213</v>
      </c>
      <c r="D27" s="17" t="s">
        <v>214</v>
      </c>
      <c r="E27" s="16" t="s">
        <v>215</v>
      </c>
      <c r="F27" s="18">
        <v>46082</v>
      </c>
      <c r="G27" s="16" t="s">
        <v>216</v>
      </c>
      <c r="H27" s="16" t="s">
        <v>217</v>
      </c>
      <c r="I27" s="16" t="s">
        <v>49</v>
      </c>
      <c r="J27" s="16" t="s">
        <v>50</v>
      </c>
      <c r="K27" s="19" t="s">
        <v>218</v>
      </c>
      <c r="L27" s="19" t="s">
        <v>219</v>
      </c>
      <c r="M27" s="19" t="str">
        <f t="shared" si="0"/>
        <v>3.6 Pruebas, capacitación y manuales</v>
      </c>
    </row>
    <row r="28" spans="1:13" ht="52.8" customHeight="1" x14ac:dyDescent="0.3">
      <c r="A28" s="19" t="s">
        <v>220</v>
      </c>
      <c r="B28" s="19" t="s">
        <v>127</v>
      </c>
      <c r="C28" s="19" t="s">
        <v>213</v>
      </c>
      <c r="D28" s="19" t="s">
        <v>221</v>
      </c>
      <c r="E28" s="19" t="s">
        <v>222</v>
      </c>
      <c r="F28" s="20">
        <v>46082</v>
      </c>
      <c r="G28" s="19" t="s">
        <v>223</v>
      </c>
      <c r="H28" s="19" t="s">
        <v>224</v>
      </c>
      <c r="I28" s="19" t="s">
        <v>49</v>
      </c>
      <c r="J28" s="19" t="s">
        <v>50</v>
      </c>
      <c r="K28" s="19" t="s">
        <v>225</v>
      </c>
      <c r="L28" s="19" t="s">
        <v>226</v>
      </c>
      <c r="M28" s="19" t="str">
        <f t="shared" si="0"/>
        <v>3.6 Pruebas, capacitación y manuales</v>
      </c>
    </row>
    <row r="29" spans="1:13" ht="52.8" customHeight="1" x14ac:dyDescent="0.3">
      <c r="A29" s="19" t="s">
        <v>227</v>
      </c>
      <c r="B29" s="19" t="s">
        <v>228</v>
      </c>
      <c r="C29" s="19" t="s">
        <v>229</v>
      </c>
      <c r="D29" s="19" t="s">
        <v>230</v>
      </c>
      <c r="E29" s="19" t="s">
        <v>231</v>
      </c>
      <c r="F29" s="20">
        <v>46082</v>
      </c>
      <c r="G29" s="19" t="s">
        <v>121</v>
      </c>
      <c r="H29" s="19" t="s">
        <v>232</v>
      </c>
      <c r="I29" s="19" t="s">
        <v>49</v>
      </c>
      <c r="J29" s="19" t="s">
        <v>50</v>
      </c>
      <c r="K29" s="19" t="s">
        <v>233</v>
      </c>
      <c r="L29" s="19" t="s">
        <v>234</v>
      </c>
      <c r="M29" s="19" t="str">
        <f t="shared" si="0"/>
        <v>4.1 Contratar experto en redes</v>
      </c>
    </row>
    <row r="30" spans="1:13" ht="52.8" customHeight="1" x14ac:dyDescent="0.3">
      <c r="A30" s="19" t="s">
        <v>235</v>
      </c>
      <c r="B30" s="19" t="s">
        <v>228</v>
      </c>
      <c r="C30" s="19" t="s">
        <v>236</v>
      </c>
      <c r="D30" s="19" t="s">
        <v>237</v>
      </c>
      <c r="E30" s="19" t="s">
        <v>238</v>
      </c>
      <c r="F30" s="20">
        <v>46082</v>
      </c>
      <c r="G30" s="19" t="s">
        <v>239</v>
      </c>
      <c r="H30" s="19" t="s">
        <v>240</v>
      </c>
      <c r="I30" s="19" t="s">
        <v>49</v>
      </c>
      <c r="J30" s="19" t="s">
        <v>50</v>
      </c>
      <c r="K30" s="19" t="s">
        <v>241</v>
      </c>
      <c r="L30" s="19" t="s">
        <v>242</v>
      </c>
      <c r="M30" s="19" t="str">
        <f t="shared" si="0"/>
        <v>4.2 Contratar servicios de conectividad</v>
      </c>
    </row>
    <row r="31" spans="1:13" ht="52.8" customHeight="1" x14ac:dyDescent="0.3">
      <c r="A31" s="19" t="s">
        <v>243</v>
      </c>
      <c r="B31" s="19" t="s">
        <v>228</v>
      </c>
      <c r="C31" s="19" t="s">
        <v>244</v>
      </c>
      <c r="D31" s="19" t="s">
        <v>245</v>
      </c>
      <c r="E31" s="19" t="s">
        <v>246</v>
      </c>
      <c r="F31" s="20">
        <v>46082</v>
      </c>
      <c r="G31" s="19" t="s">
        <v>247</v>
      </c>
      <c r="H31" s="19" t="s">
        <v>248</v>
      </c>
      <c r="I31" s="19" t="s">
        <v>123</v>
      </c>
      <c r="J31" s="19" t="s">
        <v>50</v>
      </c>
      <c r="K31" s="19" t="s">
        <v>249</v>
      </c>
      <c r="L31" s="19" t="s">
        <v>250</v>
      </c>
      <c r="M31" s="19" t="str">
        <f t="shared" si="0"/>
        <v>4.3 Contratar personal operativo</v>
      </c>
    </row>
    <row r="32" spans="1:13" ht="52.8" customHeight="1" x14ac:dyDescent="0.3">
      <c r="A32" s="19" t="s">
        <v>251</v>
      </c>
      <c r="B32" s="19" t="s">
        <v>228</v>
      </c>
      <c r="C32" s="19" t="s">
        <v>252</v>
      </c>
      <c r="D32" s="19" t="s">
        <v>253</v>
      </c>
      <c r="E32" s="19" t="s">
        <v>254</v>
      </c>
      <c r="F32" s="20">
        <v>46082</v>
      </c>
      <c r="G32" s="19" t="s">
        <v>255</v>
      </c>
      <c r="H32" s="19" t="s">
        <v>256</v>
      </c>
      <c r="I32" s="19" t="s">
        <v>49</v>
      </c>
      <c r="J32" s="19" t="s">
        <v>50</v>
      </c>
      <c r="K32" s="19" t="s">
        <v>257</v>
      </c>
      <c r="L32" s="19" t="s">
        <v>258</v>
      </c>
      <c r="M32" s="19" t="str">
        <f t="shared" si="0"/>
        <v>4.4 Preparar el terreno</v>
      </c>
    </row>
    <row r="33" spans="1:13" ht="52.8" customHeight="1" x14ac:dyDescent="0.3">
      <c r="A33" s="19" t="s">
        <v>259</v>
      </c>
      <c r="B33" s="19" t="s">
        <v>228</v>
      </c>
      <c r="C33" s="19" t="s">
        <v>260</v>
      </c>
      <c r="D33" s="19" t="s">
        <v>261</v>
      </c>
      <c r="E33" s="19" t="s">
        <v>262</v>
      </c>
      <c r="F33" s="20">
        <v>46082</v>
      </c>
      <c r="G33" s="19" t="s">
        <v>263</v>
      </c>
      <c r="H33" s="19" t="s">
        <v>264</v>
      </c>
      <c r="I33" s="19" t="s">
        <v>49</v>
      </c>
      <c r="J33" s="19" t="s">
        <v>50</v>
      </c>
      <c r="K33" s="19" t="s">
        <v>265</v>
      </c>
      <c r="L33" s="19" t="s">
        <v>266</v>
      </c>
      <c r="M33" s="19" t="str">
        <f t="shared" si="0"/>
        <v>4.5 Configuración e instalación de switches, router y otros dispositivos</v>
      </c>
    </row>
    <row r="34" spans="1:13" ht="52.8" customHeight="1" x14ac:dyDescent="0.3">
      <c r="A34" s="19" t="s">
        <v>267</v>
      </c>
      <c r="B34" s="19" t="s">
        <v>228</v>
      </c>
      <c r="C34" s="19" t="s">
        <v>268</v>
      </c>
      <c r="D34" s="19" t="s">
        <v>269</v>
      </c>
      <c r="E34" s="19" t="s">
        <v>270</v>
      </c>
      <c r="F34" s="20">
        <v>46082</v>
      </c>
      <c r="G34" s="19" t="s">
        <v>271</v>
      </c>
      <c r="H34" s="19" t="s">
        <v>272</v>
      </c>
      <c r="I34" s="19" t="s">
        <v>123</v>
      </c>
      <c r="J34" s="19" t="s">
        <v>50</v>
      </c>
      <c r="K34" s="19" t="s">
        <v>273</v>
      </c>
      <c r="L34" s="19" t="s">
        <v>274</v>
      </c>
      <c r="M34" s="19" t="str">
        <f t="shared" si="0"/>
        <v>4.6 Colocación de puntos de acceso</v>
      </c>
    </row>
    <row r="35" spans="1:13" ht="52.8" customHeight="1" x14ac:dyDescent="0.3">
      <c r="A35" s="19" t="s">
        <v>275</v>
      </c>
      <c r="B35" s="19" t="s">
        <v>228</v>
      </c>
      <c r="C35" s="19" t="s">
        <v>276</v>
      </c>
      <c r="D35" s="19" t="s">
        <v>277</v>
      </c>
      <c r="E35" s="19" t="s">
        <v>278</v>
      </c>
      <c r="F35" s="20">
        <v>46082</v>
      </c>
      <c r="G35" s="19" t="s">
        <v>279</v>
      </c>
      <c r="H35" s="19" t="s">
        <v>280</v>
      </c>
      <c r="I35" s="19" t="s">
        <v>49</v>
      </c>
      <c r="J35" s="19" t="s">
        <v>50</v>
      </c>
      <c r="K35" s="19" t="s">
        <v>281</v>
      </c>
      <c r="L35" s="19" t="s">
        <v>282</v>
      </c>
      <c r="M35" s="19" t="str">
        <f t="shared" si="0"/>
        <v>4.7 Implementación de cableado estructurado</v>
      </c>
    </row>
    <row r="36" spans="1:13" ht="52.8" customHeight="1" x14ac:dyDescent="0.3">
      <c r="A36" s="19" t="s">
        <v>283</v>
      </c>
      <c r="B36" s="19" t="s">
        <v>228</v>
      </c>
      <c r="C36" s="19" t="s">
        <v>284</v>
      </c>
      <c r="D36" s="19" t="s">
        <v>285</v>
      </c>
      <c r="E36" s="19" t="s">
        <v>286</v>
      </c>
      <c r="F36" s="20">
        <v>46082</v>
      </c>
      <c r="G36" s="19" t="s">
        <v>287</v>
      </c>
      <c r="H36" s="19" t="s">
        <v>288</v>
      </c>
      <c r="I36" s="19" t="s">
        <v>49</v>
      </c>
      <c r="J36" s="19" t="s">
        <v>50</v>
      </c>
      <c r="K36" s="19" t="s">
        <v>289</v>
      </c>
      <c r="L36" s="19" t="s">
        <v>290</v>
      </c>
      <c r="M36" s="19" t="str">
        <f t="shared" si="0"/>
        <v>4.8 Configuración de VPN sucursal-cloud</v>
      </c>
    </row>
    <row r="37" spans="1:13" ht="52.8" customHeight="1" x14ac:dyDescent="0.3">
      <c r="A37" s="19" t="s">
        <v>291</v>
      </c>
      <c r="B37" s="19" t="s">
        <v>228</v>
      </c>
      <c r="C37" s="19" t="s">
        <v>292</v>
      </c>
      <c r="D37" s="19" t="s">
        <v>293</v>
      </c>
      <c r="E37" s="19" t="s">
        <v>294</v>
      </c>
      <c r="F37" s="20">
        <v>46082</v>
      </c>
      <c r="G37" s="19" t="s">
        <v>295</v>
      </c>
      <c r="H37" s="19" t="s">
        <v>296</v>
      </c>
      <c r="I37" s="19" t="s">
        <v>49</v>
      </c>
      <c r="J37" s="19" t="s">
        <v>50</v>
      </c>
      <c r="K37" s="19" t="s">
        <v>297</v>
      </c>
      <c r="L37" s="19" t="s">
        <v>298</v>
      </c>
      <c r="M37" s="19" t="str">
        <f t="shared" si="0"/>
        <v>4.9 Seguridad de red</v>
      </c>
    </row>
    <row r="38" spans="1:13" ht="52.8" customHeight="1" x14ac:dyDescent="0.3">
      <c r="A38" s="19" t="s">
        <v>299</v>
      </c>
      <c r="B38" s="19" t="s">
        <v>228</v>
      </c>
      <c r="C38" s="19" t="s">
        <v>300</v>
      </c>
      <c r="D38" s="19" t="s">
        <v>301</v>
      </c>
      <c r="E38" s="19" t="s">
        <v>302</v>
      </c>
      <c r="F38" s="20">
        <v>46082</v>
      </c>
      <c r="G38" s="19" t="s">
        <v>303</v>
      </c>
      <c r="H38" s="19" t="s">
        <v>304</v>
      </c>
      <c r="I38" s="19" t="s">
        <v>49</v>
      </c>
      <c r="J38" s="19" t="s">
        <v>50</v>
      </c>
      <c r="K38" s="19" t="s">
        <v>305</v>
      </c>
      <c r="L38" s="19" t="s">
        <v>306</v>
      </c>
      <c r="M38" s="19" t="str">
        <f t="shared" si="0"/>
        <v>4.10 Pruebas y documentación</v>
      </c>
    </row>
    <row r="39" spans="1:13" ht="52.8" customHeight="1" x14ac:dyDescent="0.3">
      <c r="A39" s="19" t="s">
        <v>307</v>
      </c>
      <c r="B39" s="19" t="s">
        <v>308</v>
      </c>
      <c r="C39" s="19" t="s">
        <v>309</v>
      </c>
      <c r="D39" s="19" t="s">
        <v>310</v>
      </c>
      <c r="E39" s="19" t="s">
        <v>311</v>
      </c>
      <c r="F39" s="20">
        <v>46082</v>
      </c>
      <c r="G39" s="19" t="s">
        <v>121</v>
      </c>
      <c r="H39" s="19" t="s">
        <v>312</v>
      </c>
      <c r="I39" s="19" t="s">
        <v>49</v>
      </c>
      <c r="J39" s="19" t="s">
        <v>50</v>
      </c>
      <c r="K39" s="19" t="s">
        <v>313</v>
      </c>
      <c r="L39" s="19" t="s">
        <v>314</v>
      </c>
      <c r="M39" s="19" t="str">
        <f t="shared" si="0"/>
        <v>5.1 Contratar experto en infraestructura</v>
      </c>
    </row>
    <row r="40" spans="1:13" ht="52.8" customHeight="1" x14ac:dyDescent="0.3">
      <c r="A40" s="19" t="s">
        <v>315</v>
      </c>
      <c r="B40" s="19" t="s">
        <v>308</v>
      </c>
      <c r="C40" s="19" t="s">
        <v>316</v>
      </c>
      <c r="D40" s="19" t="s">
        <v>317</v>
      </c>
      <c r="E40" s="19" t="s">
        <v>318</v>
      </c>
      <c r="F40" s="20">
        <v>46082</v>
      </c>
      <c r="G40" s="19" t="s">
        <v>319</v>
      </c>
      <c r="H40" s="19" t="s">
        <v>248</v>
      </c>
      <c r="I40" s="19" t="s">
        <v>123</v>
      </c>
      <c r="J40" s="19" t="s">
        <v>50</v>
      </c>
      <c r="K40" s="19" t="s">
        <v>320</v>
      </c>
      <c r="L40" s="19" t="s">
        <v>321</v>
      </c>
      <c r="M40" s="19" t="str">
        <f t="shared" si="0"/>
        <v>5.2 Contratar personal necesario para preparar el terreno</v>
      </c>
    </row>
    <row r="41" spans="1:13" ht="52.8" customHeight="1" x14ac:dyDescent="0.3">
      <c r="A41" s="19" t="s">
        <v>322</v>
      </c>
      <c r="B41" s="19" t="s">
        <v>308</v>
      </c>
      <c r="C41" s="19" t="s">
        <v>323</v>
      </c>
      <c r="D41" s="19" t="s">
        <v>324</v>
      </c>
      <c r="E41" s="19" t="s">
        <v>325</v>
      </c>
      <c r="F41" s="20">
        <v>46082</v>
      </c>
      <c r="G41" s="19" t="s">
        <v>326</v>
      </c>
      <c r="H41" s="19" t="s">
        <v>327</v>
      </c>
      <c r="I41" s="19" t="s">
        <v>49</v>
      </c>
      <c r="J41" s="19" t="s">
        <v>50</v>
      </c>
      <c r="K41" s="19" t="s">
        <v>328</v>
      </c>
      <c r="L41" s="19" t="s">
        <v>329</v>
      </c>
      <c r="M41" s="19" t="str">
        <f t="shared" si="0"/>
        <v>5.3 Preparar el terreno</v>
      </c>
    </row>
    <row r="42" spans="1:13" ht="52.8" customHeight="1" x14ac:dyDescent="0.3">
      <c r="A42" s="19" t="s">
        <v>330</v>
      </c>
      <c r="B42" s="19" t="s">
        <v>308</v>
      </c>
      <c r="C42" s="19" t="s">
        <v>331</v>
      </c>
      <c r="D42" s="19" t="s">
        <v>332</v>
      </c>
      <c r="E42" s="19" t="s">
        <v>333</v>
      </c>
      <c r="F42" s="20">
        <v>46082</v>
      </c>
      <c r="G42" s="19" t="s">
        <v>334</v>
      </c>
      <c r="H42" s="19" t="s">
        <v>335</v>
      </c>
      <c r="I42" s="19" t="s">
        <v>49</v>
      </c>
      <c r="J42" s="19" t="s">
        <v>50</v>
      </c>
      <c r="K42" s="19" t="s">
        <v>336</v>
      </c>
      <c r="L42" s="19" t="s">
        <v>337</v>
      </c>
      <c r="M42" s="19" t="str">
        <f t="shared" si="0"/>
        <v>5.4 Instalación de racks y gabinetes</v>
      </c>
    </row>
    <row r="43" spans="1:13" ht="52.8" customHeight="1" x14ac:dyDescent="0.3">
      <c r="A43" s="19" t="s">
        <v>338</v>
      </c>
      <c r="B43" s="19" t="s">
        <v>308</v>
      </c>
      <c r="C43" s="19" t="s">
        <v>339</v>
      </c>
      <c r="D43" s="19" t="s">
        <v>340</v>
      </c>
      <c r="E43" s="19" t="s">
        <v>341</v>
      </c>
      <c r="F43" s="20">
        <v>46082</v>
      </c>
      <c r="G43" s="19" t="s">
        <v>342</v>
      </c>
      <c r="H43" s="19" t="s">
        <v>343</v>
      </c>
      <c r="I43" s="19" t="s">
        <v>49</v>
      </c>
      <c r="J43" s="19" t="s">
        <v>50</v>
      </c>
      <c r="K43" s="19" t="s">
        <v>344</v>
      </c>
      <c r="L43" s="19" t="s">
        <v>345</v>
      </c>
      <c r="M43" s="19" t="str">
        <f t="shared" si="0"/>
        <v>5.5 Instalación de UPS y protección eléctrica</v>
      </c>
    </row>
    <row r="44" spans="1:13" ht="52.8" customHeight="1" x14ac:dyDescent="0.3">
      <c r="A44" s="19" t="s">
        <v>346</v>
      </c>
      <c r="B44" s="19" t="s">
        <v>308</v>
      </c>
      <c r="C44" s="19" t="s">
        <v>347</v>
      </c>
      <c r="D44" s="19" t="s">
        <v>348</v>
      </c>
      <c r="E44" s="19" t="s">
        <v>349</v>
      </c>
      <c r="F44" s="20">
        <v>46082</v>
      </c>
      <c r="G44" s="19" t="s">
        <v>350</v>
      </c>
      <c r="H44" s="19" t="s">
        <v>351</v>
      </c>
      <c r="I44" s="19" t="s">
        <v>123</v>
      </c>
      <c r="J44" s="19" t="s">
        <v>50</v>
      </c>
      <c r="K44" s="19" t="s">
        <v>352</v>
      </c>
      <c r="L44" s="19" t="s">
        <v>353</v>
      </c>
      <c r="M44" s="19" t="str">
        <f t="shared" si="0"/>
        <v>5.6 Etiquetado y ordenamiento</v>
      </c>
    </row>
    <row r="45" spans="1:13" ht="52.8" customHeight="1" x14ac:dyDescent="0.3">
      <c r="A45" s="19" t="s">
        <v>354</v>
      </c>
      <c r="B45" s="19" t="s">
        <v>308</v>
      </c>
      <c r="C45" s="19" t="s">
        <v>355</v>
      </c>
      <c r="D45" s="19" t="s">
        <v>356</v>
      </c>
      <c r="E45" s="19" t="s">
        <v>357</v>
      </c>
      <c r="F45" s="20">
        <v>46082</v>
      </c>
      <c r="G45" s="19" t="s">
        <v>326</v>
      </c>
      <c r="H45" s="19" t="s">
        <v>358</v>
      </c>
      <c r="I45" s="19" t="s">
        <v>49</v>
      </c>
      <c r="J45" s="19" t="s">
        <v>50</v>
      </c>
      <c r="K45" s="19" t="s">
        <v>359</v>
      </c>
      <c r="L45" s="19" t="s">
        <v>360</v>
      </c>
      <c r="M45" s="19" t="str">
        <f t="shared" si="0"/>
        <v>5.7 Instalación de equipamiento en tienda</v>
      </c>
    </row>
    <row r="46" spans="1:13" ht="52.8" customHeight="1" x14ac:dyDescent="0.3">
      <c r="A46" s="19" t="s">
        <v>361</v>
      </c>
      <c r="B46" s="19" t="s">
        <v>308</v>
      </c>
      <c r="C46" s="19" t="s">
        <v>362</v>
      </c>
      <c r="D46" s="19" t="s">
        <v>363</v>
      </c>
      <c r="E46" s="19" t="s">
        <v>364</v>
      </c>
      <c r="F46" s="20">
        <v>46082</v>
      </c>
      <c r="G46" s="19" t="s">
        <v>365</v>
      </c>
      <c r="H46" s="19" t="s">
        <v>366</v>
      </c>
      <c r="I46" s="19" t="s">
        <v>49</v>
      </c>
      <c r="J46" s="19" t="s">
        <v>50</v>
      </c>
      <c r="K46" s="19" t="s">
        <v>367</v>
      </c>
      <c r="L46" s="19" t="s">
        <v>368</v>
      </c>
      <c r="M46" s="19" t="str">
        <f t="shared" si="0"/>
        <v>5.8 Respaldo local y continuidad</v>
      </c>
    </row>
    <row r="47" spans="1:13" ht="52.8" customHeight="1" x14ac:dyDescent="0.3">
      <c r="A47" s="19" t="s">
        <v>369</v>
      </c>
      <c r="B47" s="19" t="s">
        <v>308</v>
      </c>
      <c r="C47" s="19" t="s">
        <v>370</v>
      </c>
      <c r="D47" s="19" t="s">
        <v>371</v>
      </c>
      <c r="E47" s="19" t="s">
        <v>372</v>
      </c>
      <c r="F47" s="20">
        <v>46082</v>
      </c>
      <c r="G47" s="19" t="s">
        <v>373</v>
      </c>
      <c r="H47" s="19" t="s">
        <v>374</v>
      </c>
      <c r="I47" s="19" t="s">
        <v>49</v>
      </c>
      <c r="J47" s="19" t="s">
        <v>50</v>
      </c>
      <c r="K47" s="19" t="s">
        <v>375</v>
      </c>
      <c r="L47" s="19" t="s">
        <v>376</v>
      </c>
      <c r="M47" s="19" t="str">
        <f t="shared" si="0"/>
        <v>5.9 Seguridad física de TI</v>
      </c>
    </row>
    <row r="48" spans="1:13" ht="52.8" customHeight="1" x14ac:dyDescent="0.3">
      <c r="A48" s="19" t="s">
        <v>377</v>
      </c>
      <c r="B48" s="19" t="s">
        <v>308</v>
      </c>
      <c r="C48" s="19" t="s">
        <v>378</v>
      </c>
      <c r="D48" s="19" t="s">
        <v>379</v>
      </c>
      <c r="E48" s="19" t="s">
        <v>380</v>
      </c>
      <c r="F48" s="20">
        <v>46082</v>
      </c>
      <c r="G48" s="19" t="s">
        <v>381</v>
      </c>
      <c r="H48" s="19" t="s">
        <v>382</v>
      </c>
      <c r="I48" s="19" t="s">
        <v>49</v>
      </c>
      <c r="J48" s="19" t="s">
        <v>50</v>
      </c>
      <c r="K48" s="19" t="s">
        <v>383</v>
      </c>
      <c r="L48" s="19" t="s">
        <v>384</v>
      </c>
      <c r="M48" s="19" t="str">
        <f t="shared" si="0"/>
        <v>5.10 Plan de mantenimiento, mesa de ayuda y escalamiento</v>
      </c>
    </row>
  </sheetData>
  <mergeCells count="3">
    <mergeCell ref="A1:J1"/>
    <mergeCell ref="A2:J2"/>
    <mergeCell ref="A3:J3"/>
  </mergeCells>
  <conditionalFormatting sqref="I5:I48">
    <cfRule type="expression" dxfId="7" priority="1">
      <formula>I5="Alta"</formula>
    </cfRule>
    <cfRule type="expression" dxfId="6" priority="2">
      <formula>I5="Media"</formula>
    </cfRule>
    <cfRule type="expression" dxfId="5" priority="3">
      <formula>I5="Baja"</formula>
    </cfRule>
  </conditionalFormatting>
  <conditionalFormatting sqref="J5:J48">
    <cfRule type="expression" dxfId="4" priority="4">
      <formula>J5="Aprobado"</formula>
    </cfRule>
    <cfRule type="expression" dxfId="3" priority="5">
      <formula>J5="Diferido"</formula>
    </cfRule>
    <cfRule type="expression" dxfId="2" priority="6">
      <formula>J5="Rechazado"</formula>
    </cfRule>
  </conditionalFormatting>
  <dataValidations count="3">
    <dataValidation type="list" sqref="J5:J48" xr:uid="{B1B1D7EC-50C0-4EB9-AB85-015C2A1F46EA}">
      <formula1>"Propuesto,Aprobado,En análisis,Implementado,Validado,Diferido,Rechazado"</formula1>
    </dataValidation>
    <dataValidation type="list" sqref="I5:I48" xr:uid="{88307A7C-B478-404E-9C2B-C00E6F5502C4}">
      <formula1>"Alta,Media,Baja"</formula1>
    </dataValidation>
    <dataValidation type="list" sqref="B5:B48" xr:uid="{8C36E47B-EBE7-4BC9-BA84-A3926C1BF7DB}">
      <formula1>"Cloud,Adquisiciones,Software,Redes,Infraestructura"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981B-FC6D-49EF-B461-BFD81C5FBFCD}">
  <dimension ref="A1:G10"/>
  <sheetViews>
    <sheetView workbookViewId="0">
      <selection activeCell="C5" sqref="C5"/>
    </sheetView>
  </sheetViews>
  <sheetFormatPr baseColWidth="10" defaultColWidth="8.88671875" defaultRowHeight="14.4" x14ac:dyDescent="0.3"/>
  <cols>
    <col min="1" max="1" width="18" customWidth="1"/>
    <col min="2" max="2" width="16" customWidth="1"/>
    <col min="3" max="5" width="10" customWidth="1"/>
    <col min="6" max="6" width="12" customWidth="1"/>
    <col min="7" max="7" width="70" customWidth="1"/>
  </cols>
  <sheetData>
    <row r="1" spans="1:7" ht="17.399999999999999" x14ac:dyDescent="0.3">
      <c r="A1" s="21" t="s">
        <v>385</v>
      </c>
      <c r="B1" s="21"/>
      <c r="C1" s="21"/>
      <c r="D1" s="21"/>
      <c r="E1" s="21"/>
      <c r="F1" s="21"/>
      <c r="G1" s="21"/>
    </row>
    <row r="3" spans="1:7" s="6" customFormat="1" ht="26.4" x14ac:dyDescent="0.3">
      <c r="A3" s="15" t="s">
        <v>30</v>
      </c>
      <c r="B3" s="15" t="s">
        <v>386</v>
      </c>
      <c r="C3" s="15" t="s">
        <v>49</v>
      </c>
      <c r="D3" s="15" t="s">
        <v>123</v>
      </c>
      <c r="E3" s="15" t="s">
        <v>387</v>
      </c>
      <c r="F3" s="15" t="s">
        <v>388</v>
      </c>
      <c r="G3" s="15" t="s">
        <v>389</v>
      </c>
    </row>
    <row r="4" spans="1:7" ht="28.8" x14ac:dyDescent="0.3">
      <c r="A4" s="19" t="s">
        <v>43</v>
      </c>
      <c r="B4" s="19">
        <f>COUNTIF('[1]Matriz de trazabilidad'!$B:$B,A4)</f>
        <v>6</v>
      </c>
      <c r="C4" s="19">
        <f>COUNTIFS('[1]Matriz de trazabilidad'!$B:$B,A4,'[1]Matriz de trazabilidad'!$I:$I,"Alta")</f>
        <v>6</v>
      </c>
      <c r="D4" s="19">
        <f>COUNTIFS('[1]Matriz de trazabilidad'!$B:$B,A4,'[1]Matriz de trazabilidad'!$I:$I,"Media")</f>
        <v>0</v>
      </c>
      <c r="E4" s="19">
        <f>COUNTIFS('[1]Matriz de trazabilidad'!$B:$B,A4,'[1]Matriz de trazabilidad'!$I:$I,"Baja")</f>
        <v>0</v>
      </c>
      <c r="F4" s="19">
        <f>COUNTIFS('[1]Matriz de trazabilidad'!$B:$B,A4,'[1]Matriz de trazabilidad'!$J:$J,"Aprobado")</f>
        <v>6</v>
      </c>
      <c r="G4" s="19" t="s">
        <v>390</v>
      </c>
    </row>
    <row r="5" spans="1:7" ht="28.8" x14ac:dyDescent="0.3">
      <c r="A5" s="19" t="s">
        <v>94</v>
      </c>
      <c r="B5" s="19">
        <f>COUNTIF('[1]Matriz de trazabilidad'!$B:$B,A5)</f>
        <v>4</v>
      </c>
      <c r="C5" s="19">
        <f>COUNTIFS('[1]Matriz de trazabilidad'!$B:$B,A5,'[1]Matriz de trazabilidad'!$I:$I,"Alta")</f>
        <v>3</v>
      </c>
      <c r="D5" s="19">
        <f>COUNTIFS('[1]Matriz de trazabilidad'!$B:$B,A5,'[1]Matriz de trazabilidad'!$I:$I,"Media")</f>
        <v>1</v>
      </c>
      <c r="E5" s="19">
        <f>COUNTIFS('[1]Matriz de trazabilidad'!$B:$B,A5,'[1]Matriz de trazabilidad'!$I:$I,"Baja")</f>
        <v>0</v>
      </c>
      <c r="F5" s="19">
        <f>COUNTIFS('[1]Matriz de trazabilidad'!$B:$B,A5,'[1]Matriz de trazabilidad'!$J:$J,"Aprobado")</f>
        <v>4</v>
      </c>
      <c r="G5" s="19" t="s">
        <v>391</v>
      </c>
    </row>
    <row r="6" spans="1:7" ht="28.8" x14ac:dyDescent="0.3">
      <c r="A6" s="19" t="s">
        <v>127</v>
      </c>
      <c r="B6" s="19">
        <f>COUNTIF('[1]Matriz de trazabilidad'!$B:$B,A6)</f>
        <v>14</v>
      </c>
      <c r="C6" s="19">
        <f>COUNTIFS('[1]Matriz de trazabilidad'!$B:$B,A6,'[1]Matriz de trazabilidad'!$I:$I,"Alta")</f>
        <v>13</v>
      </c>
      <c r="D6" s="19">
        <f>COUNTIFS('[1]Matriz de trazabilidad'!$B:$B,A6,'[1]Matriz de trazabilidad'!$I:$I,"Media")</f>
        <v>1</v>
      </c>
      <c r="E6" s="19">
        <f>COUNTIFS('[1]Matriz de trazabilidad'!$B:$B,A6,'[1]Matriz de trazabilidad'!$I:$I,"Baja")</f>
        <v>0</v>
      </c>
      <c r="F6" s="19">
        <f>COUNTIFS('[1]Matriz de trazabilidad'!$B:$B,A6,'[1]Matriz de trazabilidad'!$J:$J,"Aprobado")</f>
        <v>14</v>
      </c>
      <c r="G6" s="19" t="s">
        <v>392</v>
      </c>
    </row>
    <row r="7" spans="1:7" ht="28.8" x14ac:dyDescent="0.3">
      <c r="A7" s="19" t="s">
        <v>228</v>
      </c>
      <c r="B7" s="19">
        <f>COUNTIF('[1]Matriz de trazabilidad'!$B:$B,A7)</f>
        <v>10</v>
      </c>
      <c r="C7" s="19">
        <f>COUNTIFS('[1]Matriz de trazabilidad'!$B:$B,A7,'[1]Matriz de trazabilidad'!$I:$I,"Alta")</f>
        <v>8</v>
      </c>
      <c r="D7" s="19">
        <f>COUNTIFS('[1]Matriz de trazabilidad'!$B:$B,A7,'[1]Matriz de trazabilidad'!$I:$I,"Media")</f>
        <v>2</v>
      </c>
      <c r="E7" s="19">
        <f>COUNTIFS('[1]Matriz de trazabilidad'!$B:$B,A7,'[1]Matriz de trazabilidad'!$I:$I,"Baja")</f>
        <v>0</v>
      </c>
      <c r="F7" s="19">
        <f>COUNTIFS('[1]Matriz de trazabilidad'!$B:$B,A7,'[1]Matriz de trazabilidad'!$J:$J,"Aprobado")</f>
        <v>10</v>
      </c>
      <c r="G7" s="19" t="s">
        <v>393</v>
      </c>
    </row>
    <row r="8" spans="1:7" x14ac:dyDescent="0.3">
      <c r="A8" s="19" t="s">
        <v>308</v>
      </c>
      <c r="B8" s="19">
        <f>COUNTIF('[1]Matriz de trazabilidad'!$B:$B,A8)</f>
        <v>10</v>
      </c>
      <c r="C8" s="19">
        <f>COUNTIFS('[1]Matriz de trazabilidad'!$B:$B,A8,'[1]Matriz de trazabilidad'!$I:$I,"Alta")</f>
        <v>8</v>
      </c>
      <c r="D8" s="19">
        <f>COUNTIFS('[1]Matriz de trazabilidad'!$B:$B,A8,'[1]Matriz de trazabilidad'!$I:$I,"Media")</f>
        <v>2</v>
      </c>
      <c r="E8" s="19">
        <f>COUNTIFS('[1]Matriz de trazabilidad'!$B:$B,A8,'[1]Matriz de trazabilidad'!$I:$I,"Baja")</f>
        <v>0</v>
      </c>
      <c r="F8" s="19">
        <f>COUNTIFS('[1]Matriz de trazabilidad'!$B:$B,A8,'[1]Matriz de trazabilidad'!$J:$J,"Aprobado")</f>
        <v>10</v>
      </c>
      <c r="G8" s="19" t="s">
        <v>394</v>
      </c>
    </row>
    <row r="10" spans="1:7" x14ac:dyDescent="0.3">
      <c r="A10" s="22" t="s">
        <v>395</v>
      </c>
      <c r="B10" s="22"/>
      <c r="C10" s="22"/>
      <c r="D10" s="22"/>
      <c r="E10" s="22"/>
      <c r="F10" s="22"/>
      <c r="G10" s="22"/>
    </row>
  </sheetData>
  <mergeCells count="2">
    <mergeCell ref="A1:G1"/>
    <mergeCell ref="A10:G10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6250-D7A0-4EE9-8DC7-79EB110D75E9}">
  <dimension ref="A1:E43"/>
  <sheetViews>
    <sheetView tabSelected="1" workbookViewId="0">
      <selection activeCell="C10" sqref="C10"/>
    </sheetView>
  </sheetViews>
  <sheetFormatPr baseColWidth="10" defaultColWidth="8.88671875" defaultRowHeight="14.4" x14ac:dyDescent="0.3"/>
  <cols>
    <col min="1" max="1" width="12" customWidth="1"/>
    <col min="2" max="2" width="18" customWidth="1"/>
    <col min="3" max="3" width="46" customWidth="1"/>
    <col min="4" max="4" width="22" customWidth="1"/>
    <col min="5" max="5" width="56" customWidth="1"/>
  </cols>
  <sheetData>
    <row r="1" spans="1:5" ht="17.399999999999999" x14ac:dyDescent="0.3">
      <c r="A1" s="21" t="s">
        <v>396</v>
      </c>
      <c r="B1" s="21"/>
      <c r="C1" s="21"/>
      <c r="D1" s="21"/>
      <c r="E1" s="21"/>
    </row>
    <row r="3" spans="1:5" x14ac:dyDescent="0.3">
      <c r="A3" s="23" t="s">
        <v>397</v>
      </c>
      <c r="B3" s="23" t="s">
        <v>30</v>
      </c>
      <c r="C3" s="23" t="s">
        <v>398</v>
      </c>
      <c r="D3" s="23" t="s">
        <v>399</v>
      </c>
      <c r="E3" s="23" t="s">
        <v>400</v>
      </c>
    </row>
    <row r="4" spans="1:5" ht="28.8" x14ac:dyDescent="0.3">
      <c r="A4" s="19" t="s">
        <v>401</v>
      </c>
      <c r="B4" s="19" t="s">
        <v>43</v>
      </c>
      <c r="C4" s="19" t="s">
        <v>402</v>
      </c>
      <c r="D4" s="19" t="s">
        <v>403</v>
      </c>
      <c r="E4" s="19" t="s">
        <v>404</v>
      </c>
    </row>
    <row r="5" spans="1:5" ht="28.8" x14ac:dyDescent="0.3">
      <c r="A5" s="19" t="s">
        <v>405</v>
      </c>
      <c r="B5" s="19" t="s">
        <v>43</v>
      </c>
      <c r="C5" s="19" t="s">
        <v>406</v>
      </c>
      <c r="D5" s="19" t="s">
        <v>407</v>
      </c>
      <c r="E5" s="19" t="s">
        <v>408</v>
      </c>
    </row>
    <row r="6" spans="1:5" ht="28.8" x14ac:dyDescent="0.3">
      <c r="A6" s="19" t="s">
        <v>409</v>
      </c>
      <c r="B6" s="19" t="s">
        <v>43</v>
      </c>
      <c r="C6" s="19" t="s">
        <v>410</v>
      </c>
      <c r="D6" s="19" t="s">
        <v>407</v>
      </c>
      <c r="E6" s="19" t="s">
        <v>411</v>
      </c>
    </row>
    <row r="7" spans="1:5" ht="28.8" x14ac:dyDescent="0.3">
      <c r="A7" s="19" t="s">
        <v>412</v>
      </c>
      <c r="B7" s="19" t="s">
        <v>43</v>
      </c>
      <c r="C7" s="19" t="s">
        <v>413</v>
      </c>
      <c r="D7" s="19" t="s">
        <v>407</v>
      </c>
      <c r="E7" s="19" t="s">
        <v>414</v>
      </c>
    </row>
    <row r="8" spans="1:5" ht="28.8" x14ac:dyDescent="0.3">
      <c r="A8" s="19" t="s">
        <v>415</v>
      </c>
      <c r="B8" s="19" t="s">
        <v>43</v>
      </c>
      <c r="C8" s="19" t="s">
        <v>416</v>
      </c>
      <c r="D8" s="19" t="s">
        <v>407</v>
      </c>
      <c r="E8" s="19" t="s">
        <v>417</v>
      </c>
    </row>
    <row r="9" spans="1:5" ht="28.8" x14ac:dyDescent="0.3">
      <c r="A9" s="19" t="s">
        <v>418</v>
      </c>
      <c r="B9" s="19" t="s">
        <v>43</v>
      </c>
      <c r="C9" s="19" t="s">
        <v>419</v>
      </c>
      <c r="D9" s="19" t="s">
        <v>407</v>
      </c>
      <c r="E9" s="19" t="s">
        <v>420</v>
      </c>
    </row>
    <row r="10" spans="1:5" ht="28.8" x14ac:dyDescent="0.3">
      <c r="A10" s="19" t="s">
        <v>421</v>
      </c>
      <c r="B10" s="19" t="s">
        <v>43</v>
      </c>
      <c r="C10" s="19" t="s">
        <v>422</v>
      </c>
      <c r="D10" s="19" t="s">
        <v>407</v>
      </c>
      <c r="E10" s="19" t="s">
        <v>423</v>
      </c>
    </row>
    <row r="11" spans="1:5" ht="28.8" x14ac:dyDescent="0.3">
      <c r="A11" s="19" t="s">
        <v>424</v>
      </c>
      <c r="B11" s="19" t="s">
        <v>94</v>
      </c>
      <c r="C11" s="19" t="s">
        <v>425</v>
      </c>
      <c r="D11" s="19" t="s">
        <v>403</v>
      </c>
      <c r="E11" s="19" t="s">
        <v>426</v>
      </c>
    </row>
    <row r="12" spans="1:5" ht="28.8" x14ac:dyDescent="0.3">
      <c r="A12" s="19" t="s">
        <v>427</v>
      </c>
      <c r="B12" s="19" t="s">
        <v>94</v>
      </c>
      <c r="C12" s="19" t="s">
        <v>428</v>
      </c>
      <c r="D12" s="19" t="s">
        <v>407</v>
      </c>
      <c r="E12" s="19" t="s">
        <v>429</v>
      </c>
    </row>
    <row r="13" spans="1:5" x14ac:dyDescent="0.3">
      <c r="A13" s="19" t="s">
        <v>430</v>
      </c>
      <c r="B13" s="19" t="s">
        <v>94</v>
      </c>
      <c r="C13" s="19" t="s">
        <v>431</v>
      </c>
      <c r="D13" s="19" t="s">
        <v>407</v>
      </c>
      <c r="E13" s="19" t="s">
        <v>432</v>
      </c>
    </row>
    <row r="14" spans="1:5" ht="28.8" x14ac:dyDescent="0.3">
      <c r="A14" s="19" t="s">
        <v>433</v>
      </c>
      <c r="B14" s="19" t="s">
        <v>94</v>
      </c>
      <c r="C14" s="19" t="s">
        <v>434</v>
      </c>
      <c r="D14" s="19" t="s">
        <v>407</v>
      </c>
      <c r="E14" s="19" t="s">
        <v>435</v>
      </c>
    </row>
    <row r="15" spans="1:5" ht="28.8" x14ac:dyDescent="0.3">
      <c r="A15" s="19" t="s">
        <v>436</v>
      </c>
      <c r="B15" s="19" t="s">
        <v>127</v>
      </c>
      <c r="C15" s="19" t="s">
        <v>437</v>
      </c>
      <c r="D15" s="19" t="s">
        <v>403</v>
      </c>
      <c r="E15" s="19" t="s">
        <v>438</v>
      </c>
    </row>
    <row r="16" spans="1:5" x14ac:dyDescent="0.3">
      <c r="A16" s="19" t="s">
        <v>439</v>
      </c>
      <c r="B16" s="19" t="s">
        <v>127</v>
      </c>
      <c r="C16" s="19" t="s">
        <v>134</v>
      </c>
      <c r="D16" s="19" t="s">
        <v>407</v>
      </c>
      <c r="E16" s="19" t="s">
        <v>440</v>
      </c>
    </row>
    <row r="17" spans="1:5" ht="28.8" x14ac:dyDescent="0.3">
      <c r="A17" s="19" t="s">
        <v>441</v>
      </c>
      <c r="B17" s="19" t="s">
        <v>127</v>
      </c>
      <c r="C17" s="19" t="s">
        <v>442</v>
      </c>
      <c r="D17" s="19" t="s">
        <v>407</v>
      </c>
      <c r="E17" s="19" t="s">
        <v>443</v>
      </c>
    </row>
    <row r="18" spans="1:5" x14ac:dyDescent="0.3">
      <c r="A18" s="19" t="s">
        <v>444</v>
      </c>
      <c r="B18" s="19" t="s">
        <v>127</v>
      </c>
      <c r="C18" s="19" t="s">
        <v>445</v>
      </c>
      <c r="D18" s="19" t="s">
        <v>407</v>
      </c>
      <c r="E18" s="19" t="s">
        <v>446</v>
      </c>
    </row>
    <row r="19" spans="1:5" ht="28.8" x14ac:dyDescent="0.3">
      <c r="A19" s="19" t="s">
        <v>447</v>
      </c>
      <c r="B19" s="19" t="s">
        <v>127</v>
      </c>
      <c r="C19" s="19" t="s">
        <v>203</v>
      </c>
      <c r="D19" s="19" t="s">
        <v>407</v>
      </c>
      <c r="E19" s="19" t="s">
        <v>448</v>
      </c>
    </row>
    <row r="20" spans="1:5" ht="28.8" x14ac:dyDescent="0.3">
      <c r="A20" s="19" t="s">
        <v>449</v>
      </c>
      <c r="B20" s="19" t="s">
        <v>127</v>
      </c>
      <c r="C20" s="19" t="s">
        <v>211</v>
      </c>
      <c r="D20" s="19" t="s">
        <v>407</v>
      </c>
      <c r="E20" s="19" t="s">
        <v>450</v>
      </c>
    </row>
    <row r="21" spans="1:5" ht="28.8" x14ac:dyDescent="0.3">
      <c r="A21" s="19" t="s">
        <v>451</v>
      </c>
      <c r="B21" s="19" t="s">
        <v>127</v>
      </c>
      <c r="C21" s="19" t="s">
        <v>452</v>
      </c>
      <c r="D21" s="19" t="s">
        <v>407</v>
      </c>
      <c r="E21" s="19" t="s">
        <v>453</v>
      </c>
    </row>
    <row r="22" spans="1:5" x14ac:dyDescent="0.3">
      <c r="A22" s="19" t="s">
        <v>454</v>
      </c>
      <c r="B22" s="19" t="s">
        <v>228</v>
      </c>
      <c r="C22" s="19" t="s">
        <v>455</v>
      </c>
      <c r="D22" s="19" t="s">
        <v>403</v>
      </c>
      <c r="E22" s="19" t="s">
        <v>456</v>
      </c>
    </row>
    <row r="23" spans="1:5" ht="28.8" x14ac:dyDescent="0.3">
      <c r="A23" s="19" t="s">
        <v>457</v>
      </c>
      <c r="B23" s="19" t="s">
        <v>228</v>
      </c>
      <c r="C23" s="19" t="s">
        <v>458</v>
      </c>
      <c r="D23" s="19" t="s">
        <v>407</v>
      </c>
      <c r="E23" s="19" t="s">
        <v>459</v>
      </c>
    </row>
    <row r="24" spans="1:5" ht="28.8" x14ac:dyDescent="0.3">
      <c r="A24" s="19" t="s">
        <v>460</v>
      </c>
      <c r="B24" s="19" t="s">
        <v>228</v>
      </c>
      <c r="C24" s="19" t="s">
        <v>461</v>
      </c>
      <c r="D24" s="19" t="s">
        <v>407</v>
      </c>
      <c r="E24" s="19" t="s">
        <v>462</v>
      </c>
    </row>
    <row r="25" spans="1:5" ht="28.8" x14ac:dyDescent="0.3">
      <c r="A25" s="19" t="s">
        <v>463</v>
      </c>
      <c r="B25" s="19" t="s">
        <v>228</v>
      </c>
      <c r="C25" s="19" t="s">
        <v>464</v>
      </c>
      <c r="D25" s="19" t="s">
        <v>407</v>
      </c>
      <c r="E25" s="19" t="s">
        <v>465</v>
      </c>
    </row>
    <row r="26" spans="1:5" x14ac:dyDescent="0.3">
      <c r="A26" s="19" t="s">
        <v>466</v>
      </c>
      <c r="B26" s="19" t="s">
        <v>228</v>
      </c>
      <c r="C26" s="19" t="s">
        <v>467</v>
      </c>
      <c r="D26" s="19" t="s">
        <v>407</v>
      </c>
      <c r="E26" s="19" t="s">
        <v>468</v>
      </c>
    </row>
    <row r="27" spans="1:5" ht="28.8" x14ac:dyDescent="0.3">
      <c r="A27" s="19" t="s">
        <v>469</v>
      </c>
      <c r="B27" s="19" t="s">
        <v>228</v>
      </c>
      <c r="C27" s="19" t="s">
        <v>470</v>
      </c>
      <c r="D27" s="19" t="s">
        <v>407</v>
      </c>
      <c r="E27" s="19" t="s">
        <v>471</v>
      </c>
    </row>
    <row r="28" spans="1:5" x14ac:dyDescent="0.3">
      <c r="A28" s="19" t="s">
        <v>472</v>
      </c>
      <c r="B28" s="19" t="s">
        <v>228</v>
      </c>
      <c r="C28" s="19" t="s">
        <v>473</v>
      </c>
      <c r="D28" s="19" t="s">
        <v>407</v>
      </c>
      <c r="E28" s="19" t="s">
        <v>474</v>
      </c>
    </row>
    <row r="29" spans="1:5" x14ac:dyDescent="0.3">
      <c r="A29" s="19" t="s">
        <v>475</v>
      </c>
      <c r="B29" s="19" t="s">
        <v>228</v>
      </c>
      <c r="C29" s="19" t="s">
        <v>476</v>
      </c>
      <c r="D29" s="19" t="s">
        <v>407</v>
      </c>
      <c r="E29" s="19" t="s">
        <v>477</v>
      </c>
    </row>
    <row r="30" spans="1:5" x14ac:dyDescent="0.3">
      <c r="A30" s="19" t="s">
        <v>478</v>
      </c>
      <c r="B30" s="19" t="s">
        <v>228</v>
      </c>
      <c r="C30" s="19" t="s">
        <v>479</v>
      </c>
      <c r="D30" s="19" t="s">
        <v>407</v>
      </c>
      <c r="E30" s="19" t="s">
        <v>480</v>
      </c>
    </row>
    <row r="31" spans="1:5" ht="28.8" x14ac:dyDescent="0.3">
      <c r="A31" s="19" t="s">
        <v>481</v>
      </c>
      <c r="B31" s="19" t="s">
        <v>228</v>
      </c>
      <c r="C31" s="19" t="s">
        <v>482</v>
      </c>
      <c r="D31" s="19" t="s">
        <v>407</v>
      </c>
      <c r="E31" s="19" t="s">
        <v>483</v>
      </c>
    </row>
    <row r="32" spans="1:5" x14ac:dyDescent="0.3">
      <c r="A32" s="19" t="s">
        <v>484</v>
      </c>
      <c r="B32" s="19" t="s">
        <v>228</v>
      </c>
      <c r="C32" s="19" t="s">
        <v>485</v>
      </c>
      <c r="D32" s="19" t="s">
        <v>407</v>
      </c>
      <c r="E32" s="19" t="s">
        <v>486</v>
      </c>
    </row>
    <row r="33" spans="1:5" ht="28.8" x14ac:dyDescent="0.3">
      <c r="A33" s="19" t="s">
        <v>487</v>
      </c>
      <c r="B33" s="19" t="s">
        <v>308</v>
      </c>
      <c r="C33" s="19" t="s">
        <v>488</v>
      </c>
      <c r="D33" s="19" t="s">
        <v>403</v>
      </c>
      <c r="E33" s="19" t="s">
        <v>489</v>
      </c>
    </row>
    <row r="34" spans="1:5" x14ac:dyDescent="0.3">
      <c r="A34" s="19" t="s">
        <v>490</v>
      </c>
      <c r="B34" s="19" t="s">
        <v>308</v>
      </c>
      <c r="C34" s="19" t="s">
        <v>491</v>
      </c>
      <c r="D34" s="19" t="s">
        <v>407</v>
      </c>
      <c r="E34" s="19" t="s">
        <v>492</v>
      </c>
    </row>
    <row r="35" spans="1:5" x14ac:dyDescent="0.3">
      <c r="A35" s="19" t="s">
        <v>493</v>
      </c>
      <c r="B35" s="19" t="s">
        <v>308</v>
      </c>
      <c r="C35" s="19" t="s">
        <v>494</v>
      </c>
      <c r="D35" s="19" t="s">
        <v>407</v>
      </c>
      <c r="E35" s="19" t="s">
        <v>495</v>
      </c>
    </row>
    <row r="36" spans="1:5" ht="28.8" x14ac:dyDescent="0.3">
      <c r="A36" s="19" t="s">
        <v>496</v>
      </c>
      <c r="B36" s="19" t="s">
        <v>308</v>
      </c>
      <c r="C36" s="19" t="s">
        <v>467</v>
      </c>
      <c r="D36" s="19" t="s">
        <v>407</v>
      </c>
      <c r="E36" s="19" t="s">
        <v>497</v>
      </c>
    </row>
    <row r="37" spans="1:5" x14ac:dyDescent="0.3">
      <c r="A37" s="19" t="s">
        <v>498</v>
      </c>
      <c r="B37" s="19" t="s">
        <v>308</v>
      </c>
      <c r="C37" s="19" t="s">
        <v>499</v>
      </c>
      <c r="D37" s="19" t="s">
        <v>407</v>
      </c>
      <c r="E37" s="19" t="s">
        <v>500</v>
      </c>
    </row>
    <row r="38" spans="1:5" x14ac:dyDescent="0.3">
      <c r="A38" s="19" t="s">
        <v>501</v>
      </c>
      <c r="B38" s="19" t="s">
        <v>308</v>
      </c>
      <c r="C38" s="19" t="s">
        <v>502</v>
      </c>
      <c r="D38" s="19" t="s">
        <v>407</v>
      </c>
      <c r="E38" s="19" t="s">
        <v>503</v>
      </c>
    </row>
    <row r="39" spans="1:5" x14ac:dyDescent="0.3">
      <c r="A39" s="19" t="s">
        <v>504</v>
      </c>
      <c r="B39" s="19" t="s">
        <v>308</v>
      </c>
      <c r="C39" s="19" t="s">
        <v>353</v>
      </c>
      <c r="D39" s="19" t="s">
        <v>407</v>
      </c>
      <c r="E39" s="19" t="s">
        <v>505</v>
      </c>
    </row>
    <row r="40" spans="1:5" ht="28.8" x14ac:dyDescent="0.3">
      <c r="A40" s="19" t="s">
        <v>506</v>
      </c>
      <c r="B40" s="19" t="s">
        <v>308</v>
      </c>
      <c r="C40" s="19" t="s">
        <v>507</v>
      </c>
      <c r="D40" s="19" t="s">
        <v>407</v>
      </c>
      <c r="E40" s="19" t="s">
        <v>508</v>
      </c>
    </row>
    <row r="41" spans="1:5" x14ac:dyDescent="0.3">
      <c r="A41" s="19" t="s">
        <v>509</v>
      </c>
      <c r="B41" s="19" t="s">
        <v>308</v>
      </c>
      <c r="C41" s="19" t="s">
        <v>510</v>
      </c>
      <c r="D41" s="19" t="s">
        <v>407</v>
      </c>
      <c r="E41" s="19" t="s">
        <v>511</v>
      </c>
    </row>
    <row r="42" spans="1:5" ht="28.8" x14ac:dyDescent="0.3">
      <c r="A42" s="19" t="s">
        <v>512</v>
      </c>
      <c r="B42" s="19" t="s">
        <v>308</v>
      </c>
      <c r="C42" s="19" t="s">
        <v>513</v>
      </c>
      <c r="D42" s="19" t="s">
        <v>407</v>
      </c>
      <c r="E42" s="19" t="s">
        <v>514</v>
      </c>
    </row>
    <row r="43" spans="1:5" ht="28.8" x14ac:dyDescent="0.3">
      <c r="A43" s="19" t="s">
        <v>515</v>
      </c>
      <c r="B43" s="19" t="s">
        <v>308</v>
      </c>
      <c r="C43" s="19" t="s">
        <v>516</v>
      </c>
      <c r="D43" s="19" t="s">
        <v>407</v>
      </c>
      <c r="E43" s="19" t="s">
        <v>517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Información del proyecto</vt:lpstr>
      <vt:lpstr>Matriz de trazabilidad</vt:lpstr>
      <vt:lpstr>Resumen EDT final</vt:lpstr>
      <vt:lpstr>Catálogo EDT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Arauz Caballero</dc:creator>
  <cp:lastModifiedBy>Pablo Arauz Caballero</cp:lastModifiedBy>
  <dcterms:created xsi:type="dcterms:W3CDTF">2026-07-02T02:55:30Z</dcterms:created>
  <dcterms:modified xsi:type="dcterms:W3CDTF">2026-07-02T02:56:44Z</dcterms:modified>
</cp:coreProperties>
</file>