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12bae589c42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60" sheetId="1" r:id="Rbfc1f5ca2cc84e88"/>
    <x:sheet xmlns:r="http://schemas.openxmlformats.org/officeDocument/2006/relationships" name="Matriz 360" sheetId="2" r:id="R243f406b62e84b2d"/>
    <x:sheet xmlns:r="http://schemas.openxmlformats.org/officeDocument/2006/relationships" name="Competencias EDT" sheetId="3" r:id="Ra72e416d4bfa46fb"/>
    <x:sheet xmlns:r="http://schemas.openxmlformats.org/officeDocument/2006/relationships" name="Resumen" sheetId="4" r:id="R6b0e0d44311649bf"/>
    <x:sheet xmlns:r="http://schemas.openxmlformats.org/officeDocument/2006/relationships" name="Listas" sheetId="5" r:id="R13e1d415855a41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4E78"/>
      <x:name val="Carlito"/>
    </x:font>
    <x:font>
      <x:sz val="11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0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0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1" fontId="1" fillId="2" borderId="2" xfId="0" applyNumberFormat="1" applyFont="1" applyFill="1" applyBorder="1" applyAlignment="1">
      <x:alignment horizontal="center" vertical="center" wrapText="1"/>
    </x:xf>
    <x:xf numFmtId="201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32a8ce70674418" /><Relationship Type="http://schemas.openxmlformats.org/officeDocument/2006/relationships/theme" Target="/xl/theme/theme1.xml" Id="Re8e90479c8d64c8a" /><Relationship Type="http://schemas.openxmlformats.org/officeDocument/2006/relationships/sharedStrings" Target="/xl/sharedStrings.xml" Id="R99283835625b467f" /><Relationship Type="http://schemas.openxmlformats.org/officeDocument/2006/relationships/worksheet" Target="/xl/worksheets/sheet1.xml" Id="Rbfc1f5ca2cc84e88" /><Relationship Type="http://schemas.openxmlformats.org/officeDocument/2006/relationships/worksheet" Target="/xl/worksheets/sheet2.xml" Id="R243f406b62e84b2d" /><Relationship Type="http://schemas.openxmlformats.org/officeDocument/2006/relationships/worksheet" Target="/xl/worksheets/sheet3.xml" Id="Ra72e416d4bfa46fb" /><Relationship Type="http://schemas.openxmlformats.org/officeDocument/2006/relationships/worksheet" Target="/xl/worksheets/sheet4.xml" Id="R6b0e0d44311649bf" /><Relationship Type="http://schemas.openxmlformats.org/officeDocument/2006/relationships/worksheet" Target="/xl/worksheets/sheet5.xml" Id="R13e1d415855a41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893b5cf5994c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Promedio por componente EDT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Evaluaciones</c:v>
          </c:tx>
          <c:cat>
            <c:strRef>
              <c:f>'Resumen'!$A$11:$A$18</c:f>
              <c:strCache>
                <c:ptCount val="0"/>
              </c:strCache>
            </c:strRef>
          </c:cat>
          <c:val>
            <c:numRef>
              <c:f>'Resumen'!$B$11:$B$18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Promedio</c:v>
          </c:tx>
          <c:cat>
            <c:strRef>
              <c:f>'Resumen'!$A$11:$A$18</c:f>
              <c:strCache>
                <c:ptCount val="0"/>
              </c:strCache>
            </c:strRef>
          </c:cat>
          <c:val>
            <c:numRef>
              <c:f>'Resumen'!$C$11:$C$18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893b5cf5994ca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MatrizEvaluacion360" displayName="MatrizEvaluacion360" ref="A1:N100" headerRowCount="1">
  <x:tableColumns count="14">
    <x:tableColumn id="1" name="ID evaluación"/>
    <x:tableColumn id="2" name="Fecha"/>
    <x:tableColumn id="3" name="Evaluado"/>
    <x:tableColumn id="4" name="Rol/cargo"/>
    <x:tableColumn id="5" name="Componente EDT"/>
    <x:tableColumn id="6" name="Evaluador"/>
    <x:tableColumn id="7" name="Relación"/>
    <x:tableColumn id="8" name="Promedio general"/>
    <x:tableColumn id="9" name="Nivel"/>
    <x:tableColumn id="10" name="Hallazgo principal"/>
    <x:tableColumn id="11" name="Acción de mejora"/>
    <x:tableColumn id="12" name="Responsable seguimiento"/>
    <x:tableColumn id="13" name="Fecha compromiso"/>
    <x:tableColumn id="14" name="Estado"/>
  </x:tableColumns>
  <x:tableStyleInfo name="TableStyleMedium2" showRowStripes="1"/>
</x:table>
</file>

<file path=xl/tables/table2.xml><?xml version="1.0" encoding="utf-8"?>
<x:table xmlns:x="http://schemas.openxmlformats.org/spreadsheetml/2006/main" id="1" name="CompetenciasEDT" displayName="CompetenciasEDT" ref="A1:F33" headerRowCount="1">
  <x:tableColumns count="6">
    <x:tableColumn id="1" name="Código"/>
    <x:tableColumn id="2" name="Componente EDT"/>
    <x:tableColumn id="3" name="Competencia / criterio"/>
    <x:tableColumn id="4" name="Descripción evaluable"/>
    <x:tableColumn id="5" name="Evidencia esperada"/>
    <x:tableColumn id="6" name="Peso sugeri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c5ea88203e4f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6cf4fa26b64f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ee755ce10a8480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4" hidden="0" customWidth="1"/>
    <x:col min="4" max="4" width="44" hidden="0" customWidth="1"/>
    <x:col min="5" max="5" width="10" hidden="0" customWidth="1"/>
    <x:col min="6" max="6" width="16" hidden="0" customWidth="1"/>
    <x:col min="7" max="7" width="42" hidden="0" customWidth="1"/>
    <x:col min="8" max="8" width="32" hidden="0" customWidth="1"/>
  </x:cols>
  <x:sheetData>
    <x:row r="1" ht="30" customHeight="1">
      <x:c r="A1" s="26" t="str">
        <x:v>A31 - Formato de Evaluación 360° por Entregables EDT</x:v>
      </x:c>
      <x:c r="B1" s="26"/>
      <x:c r="C1" s="26"/>
      <x:c r="D1" s="26"/>
      <x:c r="E1" s="26"/>
      <x:c r="F1" s="26"/>
      <x:c r="G1" s="26"/>
      <x:c r="H1" s="26"/>
    </x:row>
    <x:row r="2" ht="28" customHeight="1">
      <x:c r="A2" s="38" t="str">
        <x:v>Proyecto SIGSUP - Implementación de estrategia TI para HIPERMAXI | Evaluación de desempeño aplicable a Cloud, Adquisiciones, Software, Redes e Infraestructura</x:v>
      </x:c>
      <x:c r="B2" s="38"/>
      <x:c r="C2" s="38"/>
      <x:c r="D2" s="38"/>
      <x:c r="E2" s="38"/>
      <x:c r="F2" s="38"/>
      <x:c r="G2" s="38"/>
      <x:c r="H2" s="38"/>
    </x:row>
    <x:row r="3">
      <x:c r="A3" s="14"/>
      <x:c r="B3" s="14"/>
      <x:c r="C3" s="14"/>
      <x:c r="D3" s="14"/>
      <x:c r="E3" s="14"/>
      <x:c r="F3" s="14"/>
      <x:c r="G3" s="14"/>
      <x:c r="H3" s="14"/>
    </x:row>
    <x:row r="4">
      <x:c r="A4" s="49" t="str">
        <x:v>Empresa/Organización</x:v>
      </x:c>
      <x:c r="B4" s="46" t="str">
        <x:v>HIPERMAXI</x:v>
      </x:c>
      <x:c r="C4" s="49" t="str">
        <x:v>Identificador</x:v>
      </x:c>
      <x:c r="D4" s="46" t="str">
        <x:v>SIGSUP</x:v>
      </x:c>
      <x:c r="E4" s="14"/>
      <x:c r="F4" s="14"/>
      <x:c r="G4" s="14"/>
      <x:c r="H4" s="14"/>
    </x:row>
    <x:row r="5">
      <x:c r="A5" s="49" t="str">
        <x:v>Nombre del proyecto</x:v>
      </x:c>
      <x:c r="B5" s="46" t="str">
        <x:v>Implementación de estrategia TI para HIPERMAXI</x:v>
      </x:c>
      <x:c r="C5" s="49" t="str">
        <x:v>Fecha de evaluación</x:v>
      </x:c>
      <x:c r="D5" s="46" t="str"/>
      <x:c r="E5" s="14"/>
      <x:c r="F5" s="14"/>
      <x:c r="G5" s="14"/>
      <x:c r="H5" s="14"/>
    </x:row>
    <x:row r="6">
      <x:c r="A6" s="49" t="str">
        <x:v>Patrocinador principal</x:v>
      </x:c>
      <x:c r="B6" s="46" t="str">
        <x:v>Gerencia General de HIPERMAXI</x:v>
      </x:c>
      <x:c r="C6" s="49" t="str">
        <x:v>Versión</x:v>
      </x:c>
      <x:c r="D6" s="46" t="str">
        <x:v>1.0</x:v>
      </x:c>
      <x:c r="E6" s="14"/>
      <x:c r="F6" s="14"/>
      <x:c r="G6" s="14"/>
      <x:c r="H6" s="14"/>
    </x:row>
    <x:row r="7">
      <x:c r="A7" s="14"/>
      <x:c r="B7" s="14"/>
      <x:c r="C7" s="14"/>
      <x:c r="D7" s="14"/>
      <x:c r="E7" s="14"/>
      <x:c r="F7" s="14"/>
      <x:c r="G7" s="14"/>
      <x:c r="H7" s="14"/>
    </x:row>
    <x:row r="8">
      <x:c r="A8" s="12" t="str">
        <x:v>Datos del evaluado y del evaluador</x:v>
      </x:c>
      <x:c r="B8" s="12"/>
      <x:c r="C8" s="12"/>
      <x:c r="D8" s="12"/>
      <x:c r="E8" s="12"/>
      <x:c r="F8" s="12"/>
      <x:c r="G8" s="12"/>
      <x:c r="H8" s="12"/>
    </x:row>
    <x:row r="9">
      <x:c r="A9" s="62" t="str">
        <x:v>Nombre del evaluado</x:v>
      </x:c>
      <x:c r="B9" s="16" t="str"/>
      <x:c r="C9" s="62" t="str">
        <x:v>Rol / cargo</x:v>
      </x:c>
      <x:c r="D9" s="16" t="str"/>
      <x:c r="E9" s="62" t="str">
        <x:v>Componente EDT evaluado</x:v>
      </x:c>
      <x:c r="F9" s="16" t="str"/>
      <x:c r="G9" s="62" t="str">
        <x:v>Periodo</x:v>
      </x:c>
      <x:c r="H9" s="16" t="str"/>
    </x:row>
    <x:row r="10">
      <x:c r="A10" s="62" t="str">
        <x:v>Nombre del evaluador</x:v>
      </x:c>
      <x:c r="B10" s="16" t="str"/>
      <x:c r="C10" s="62" t="str">
        <x:v>Relación con evaluado</x:v>
      </x:c>
      <x:c r="D10" s="16" t="str"/>
      <x:c r="E10" s="62" t="str">
        <x:v>Área del evaluador</x:v>
      </x:c>
      <x:c r="F10" s="16" t="str"/>
      <x:c r="G10" s="62" t="str">
        <x:v>Estado</x:v>
      </x:c>
      <x:c r="H10" s="16" t="str"/>
    </x:row>
    <x:row r="11">
      <x:c r="A11" s="14"/>
      <x:c r="B11" s="14"/>
      <x:c r="C11" s="14"/>
      <x:c r="D11" s="14"/>
      <x:c r="E11" s="14"/>
      <x:c r="F11" s="14"/>
      <x:c r="G11" s="14"/>
      <x:c r="H11" s="14"/>
    </x:row>
    <x:row r="12">
      <x:c r="A12" s="12" t="str">
        <x:v>Escala de calificación</x:v>
      </x:c>
      <x:c r="B12" s="12"/>
      <x:c r="C12" s="12"/>
      <x:c r="D12" s="12"/>
      <x:c r="E12" s="12"/>
      <x:c r="F12" s="12"/>
      <x:c r="G12" s="12"/>
      <x:c r="H12" s="12"/>
    </x:row>
    <x:row r="13">
      <x:c r="A13" s="65" t="n">
        <x:v>1</x:v>
      </x:c>
      <x:c r="B13" s="65" t="str">
        <x:v>Deficiente</x:v>
      </x:c>
      <x:c r="C13" s="65" t="str">
        <x:v>No cumple lo esperado; requiere intervención inmediata.</x:v>
      </x:c>
      <x:c r="D13" s="14"/>
      <x:c r="E13" s="14"/>
      <x:c r="F13" s="14"/>
      <x:c r="G13" s="14"/>
      <x:c r="H13" s="14"/>
    </x:row>
    <x:row r="14">
      <x:c r="A14" s="16" t="n">
        <x:v>2</x:v>
      </x:c>
      <x:c r="B14" s="16" t="str">
        <x:v>Regular</x:v>
      </x:c>
      <x:c r="C14" s="16" t="str">
        <x:v>Cumple parcialmente; necesita acompañamiento y mejora visible.</x:v>
      </x:c>
      <x:c r="D14" s="14"/>
      <x:c r="E14" s="14"/>
      <x:c r="F14" s="14"/>
      <x:c r="G14" s="14"/>
      <x:c r="H14" s="14"/>
    </x:row>
    <x:row r="15">
      <x:c r="A15" s="16" t="n">
        <x:v>3</x:v>
      </x:c>
      <x:c r="B15" s="16" t="str">
        <x:v>Bueno</x:v>
      </x:c>
      <x:c r="C15" s="16" t="str">
        <x:v>Cumple lo esperado en condiciones normales.</x:v>
      </x:c>
      <x:c r="D15" s="14"/>
      <x:c r="E15" s="14"/>
      <x:c r="F15" s="14"/>
      <x:c r="G15" s="14"/>
      <x:c r="H15" s="14"/>
    </x:row>
    <x:row r="16">
      <x:c r="A16" s="16" t="n">
        <x:v>4</x:v>
      </x:c>
      <x:c r="B16" s="16" t="str">
        <x:v>Muy bueno</x:v>
      </x:c>
      <x:c r="C16" s="16" t="str">
        <x:v>Supera lo esperado y aporta valor al equipo.</x:v>
      </x:c>
      <x:c r="D16" s="14"/>
      <x:c r="E16" s="14"/>
      <x:c r="F16" s="14"/>
      <x:c r="G16" s="14"/>
      <x:c r="H16" s="14"/>
    </x:row>
    <x:row r="17">
      <x:c r="A17" s="16" t="n">
        <x:v>5</x:v>
      </x:c>
      <x:c r="B17" s="16" t="str">
        <x:v>Excelente</x:v>
      </x:c>
      <x:c r="C17" s="16" t="str">
        <x:v>Referente del equipo; entrega calidad consistente y evidencia clara.</x:v>
      </x:c>
      <x:c r="D17" s="14"/>
      <x:c r="E17" s="14"/>
      <x:c r="F17" s="14"/>
      <x:c r="G17" s="14"/>
      <x:c r="H17" s="14"/>
    </x:row>
    <x:row r="18">
      <x:c r="A18" s="14"/>
      <x:c r="B18" s="14"/>
      <x:c r="C18" s="14"/>
      <x:c r="D18" s="14"/>
      <x:c r="E18" s="14"/>
      <x:c r="F18" s="14"/>
      <x:c r="G18" s="14"/>
      <x:c r="H18" s="14"/>
    </x:row>
    <x:row r="19">
      <x:c r="A19" s="14"/>
      <x:c r="B19" s="14"/>
      <x:c r="C19" s="14"/>
      <x:c r="D19" s="14"/>
      <x:c r="E19" s="14"/>
      <x:c r="F19" s="14"/>
      <x:c r="G19" s="14"/>
      <x:c r="H19" s="14"/>
    </x:row>
    <x:row r="20" ht="32" customHeight="1">
      <x:c r="A20" s="12" t="str">
        <x:v>Código</x:v>
      </x:c>
      <x:c r="B20" s="12" t="str">
        <x:v>Componente EDT</x:v>
      </x:c>
      <x:c r="C20" s="12" t="str">
        <x:v>Criterio evaluable</x:v>
      </x:c>
      <x:c r="D20" s="12" t="str">
        <x:v>Evidencia esperada</x:v>
      </x:c>
      <x:c r="E20" s="12" t="str">
        <x:v>Peso</x:v>
      </x:c>
      <x:c r="F20" s="12" t="str">
        <x:v>Calificación 1-5</x:v>
      </x:c>
      <x:c r="G20" s="12" t="str">
        <x:v>Comentario / evidencia del evaluador</x:v>
      </x:c>
      <x:c r="H20" s="12" t="str">
        <x:v>Acción de mejora</x:v>
      </x:c>
    </x:row>
    <x:row r="21">
      <x:c r="A21" s="16" t="str">
        <x:v>GEN-01</x:v>
      </x:c>
      <x:c r="B21" s="16" t="str">
        <x:v>General del proyecto</x:v>
      </x:c>
      <x:c r="C21" s="16" t="str">
        <x:v>Alineación al EDT final</x:v>
      </x:c>
      <x:c r="D21" s="16" t="str">
        <x:v>Uso correcto de códigos EDT, entregables y criterios de aceptación.</x:v>
      </x:c>
      <x:c r="E21" s="16" t="n">
        <x:v>8</x:v>
      </x:c>
      <x:c r="F21" s="16" t="str"/>
      <x:c r="G21" s="16" t="str"/>
      <x:c r="H21" s="16" t="str"/>
    </x:row>
    <x:row r="22">
      <x:c r="A22" s="16" t="str">
        <x:v>GEN-02</x:v>
      </x:c>
      <x:c r="B22" s="16" t="str">
        <x:v>General del proyecto</x:v>
      </x:c>
      <x:c r="C22" s="16" t="str">
        <x:v>Comunicación y coordinación</x:v>
      </x:c>
      <x:c r="D22" s="16" t="str">
        <x:v>Actas, reportes, acuerdos y evidencias de seguimiento.</x:v>
      </x:c>
      <x:c r="E22" s="16" t="n">
        <x:v>8</x:v>
      </x:c>
      <x:c r="F22" s="16" t="str"/>
      <x:c r="G22" s="16" t="str"/>
      <x:c r="H22" s="16" t="str"/>
    </x:row>
    <x:row r="23">
      <x:c r="A23" s="16" t="str">
        <x:v>GEN-03</x:v>
      </x:c>
      <x:c r="B23" s="16" t="str">
        <x:v>General del proyecto</x:v>
      </x:c>
      <x:c r="C23" s="16" t="str">
        <x:v>Cumplimiento de hitos</x:v>
      </x:c>
      <x:c r="D23" s="16" t="str">
        <x:v>Hitos cerrados, desviaciones justificadas y acciones correctivas.</x:v>
      </x:c>
      <x:c r="E23" s="16" t="n">
        <x:v>8</x:v>
      </x:c>
      <x:c r="F23" s="16" t="str"/>
      <x:c r="G23" s="16" t="str"/>
      <x:c r="H23" s="16" t="str"/>
    </x:row>
    <x:row r="24">
      <x:c r="A24" s="16" t="str">
        <x:v>GEN-04</x:v>
      </x:c>
      <x:c r="B24" s="16" t="str">
        <x:v>General del proyecto</x:v>
      </x:c>
      <x:c r="C24" s="16" t="str">
        <x:v>Calidad documental</x:v>
      </x:c>
      <x:c r="D24" s="16" t="str">
        <x:v>Documentación completa, firmada o validada.</x:v>
      </x:c>
      <x:c r="E24" s="16" t="n">
        <x:v>8</x:v>
      </x:c>
      <x:c r="F24" s="16" t="str"/>
      <x:c r="G24" s="16" t="str"/>
      <x:c r="H24" s="16" t="str"/>
    </x:row>
    <x:row r="25">
      <x:c r="A25" s="16" t="str">
        <x:v>GEN-05</x:v>
      </x:c>
      <x:c r="B25" s="16" t="str">
        <x:v>General del proyecto</x:v>
      </x:c>
      <x:c r="C25" s="16" t="str">
        <x:v>Gestión de riesgos e incidencias</x:v>
      </x:c>
      <x:c r="D25" s="16" t="str">
        <x:v>Registro de riesgos, incidentes cerrados y plan de respuesta.</x:v>
      </x:c>
      <x:c r="E25" s="16" t="n">
        <x:v>8</x:v>
      </x:c>
      <x:c r="F25" s="16" t="str"/>
      <x:c r="G25" s="16" t="str"/>
      <x:c r="H25" s="16" t="str"/>
    </x:row>
    <x:row r="26">
      <x:c r="A26" s="16" t="str">
        <x:v>CLD-01</x:v>
      </x:c>
      <x:c r="B26" s="16" t="str">
        <x:v>Cloud</x:v>
      </x:c>
      <x:c r="C26" s="16" t="str">
        <x:v>Contratación de asesoría cloud</x:v>
      </x:c>
      <x:c r="D26" s="16" t="str">
        <x:v>Contrato, propuesta técnica, alcance de asesoría y acta de inicio.</x:v>
      </x:c>
      <x:c r="E26" s="16" t="n">
        <x:v>5</x:v>
      </x:c>
      <x:c r="F26" s="16" t="str"/>
      <x:c r="G26" s="16" t="str"/>
      <x:c r="H26" s="16" t="str"/>
    </x:row>
    <x:row r="27">
      <x:c r="A27" s="16" t="str">
        <x:v>CLD-02</x:v>
      </x:c>
      <x:c r="B27" s="16" t="str">
        <x:v>Cloud</x:v>
      </x:c>
      <x:c r="C27" s="16" t="str">
        <x:v>Contratación de servicios cloud</x:v>
      </x:c>
      <x:c r="D27" s="16" t="str">
        <x:v>Contrato/alta de servicios, SLA, matriz de costos y responsable operativo.</x:v>
      </x:c>
      <x:c r="E27" s="16" t="n">
        <x:v>5</x:v>
      </x:c>
      <x:c r="F27" s="16" t="str"/>
      <x:c r="G27" s="16" t="str"/>
      <x:c r="H27" s="16" t="str"/>
    </x:row>
    <x:row r="28">
      <x:c r="A28" s="16" t="str">
        <x:v>CLD-03</x:v>
      </x:c>
      <x:c r="B28" s="16" t="str">
        <x:v>Cloud</x:v>
      </x:c>
      <x:c r="C28" s="16" t="str">
        <x:v>Respaldo y continuidad</x:v>
      </x:c>
      <x:c r="D28" s="16" t="str">
        <x:v>Plan de backup, prueba de restauración y RPO/RTO definidos.</x:v>
      </x:c>
      <x:c r="E28" s="16" t="n">
        <x:v>5</x:v>
      </x:c>
      <x:c r="F28" s="16" t="str"/>
      <x:c r="G28" s="16" t="str"/>
      <x:c r="H28" s="16" t="str"/>
    </x:row>
    <x:row r="29">
      <x:c r="A29" s="16" t="str">
        <x:v>CLD-04</x:v>
      </x:c>
      <x:c r="B29" s="16" t="str">
        <x:v>Cloud</x:v>
      </x:c>
      <x:c r="C29" s="16" t="str">
        <x:v>Ambientes Dev/Test/Pre/Prod</x:v>
      </x:c>
      <x:c r="D29" s="16" t="str">
        <x:v>Ambientes creados, accesos controlados y documentación técnica.</x:v>
      </x:c>
      <x:c r="E29" s="16" t="n">
        <x:v>5</x:v>
      </x:c>
      <x:c r="F29" s="16" t="str"/>
      <x:c r="G29" s="16" t="str"/>
      <x:c r="H29" s="16" t="str"/>
    </x:row>
    <x:row r="30">
      <x:c r="A30" s="16" t="str">
        <x:v>CLD-05</x:v>
      </x:c>
      <x:c r="B30" s="16" t="str">
        <x:v>Cloud</x:v>
      </x:c>
      <x:c r="C30" s="16" t="str">
        <x:v>Servicios cloud base</x:v>
      </x:c>
      <x:c r="D30" s="16" t="str">
        <x:v>Servicios operativos, pruebas de conexión y evidencia de configuración.</x:v>
      </x:c>
      <x:c r="E30" s="16" t="n">
        <x:v>5</x:v>
      </x:c>
      <x:c r="F30" s="16" t="str"/>
      <x:c r="G30" s="16" t="str"/>
      <x:c r="H30" s="16" t="str"/>
    </x:row>
    <x:row r="31">
      <x:c r="A31" s="16" t="str">
        <x:v>CLD-06</x:v>
      </x:c>
      <x:c r="B31" s="16" t="str">
        <x:v>Cloud</x:v>
      </x:c>
      <x:c r="C31" s="16" t="str">
        <x:v>Seguridad y operación cloud</x:v>
      </x:c>
      <x:c r="D31" s="16" t="str">
        <x:v>IAM configurado, alertas activas, dashboard de costos y logs auditables.</x:v>
      </x:c>
      <x:c r="E31" s="16" t="n">
        <x:v>5</x:v>
      </x:c>
      <x:c r="F31" s="16" t="str"/>
      <x:c r="G31" s="16" t="str"/>
      <x:c r="H31" s="16" t="str"/>
    </x:row>
    <x:row r="32">
      <x:c r="A32" s="16" t="str">
        <x:v>ADQ-01</x:v>
      </x:c>
      <x:c r="B32" s="16" t="str">
        <x:v>Adquisiciones</x:v>
      </x:c>
      <x:c r="C32" s="16" t="str">
        <x:v>Cotización de proveedores</x:v>
      </x:c>
      <x:c r="D32" s="16" t="str">
        <x:v>Matriz de cotizaciones con precio, plazo, garantía y condiciones.</x:v>
      </x:c>
      <x:c r="E32" s="16" t="n">
        <x:v>4</x:v>
      </x:c>
      <x:c r="F32" s="16" t="str"/>
      <x:c r="G32" s="16" t="str"/>
      <x:c r="H32" s="16" t="str"/>
    </x:row>
    <x:row r="33">
      <x:c r="A33" s="16" t="str">
        <x:v>ADQ-02</x:v>
      </x:c>
      <x:c r="B33" s="16" t="str">
        <x:v>Adquisiciones</x:v>
      </x:c>
      <x:c r="C33" s="16" t="str">
        <x:v>Selección económico-técnica</x:v>
      </x:c>
      <x:c r="D33" s="16" t="str">
        <x:v>Matriz de evaluación, recomendación y aprobación.</x:v>
      </x:c>
      <x:c r="E33" s="16" t="n">
        <x:v>4</x:v>
      </x:c>
      <x:c r="F33" s="16" t="str"/>
      <x:c r="G33" s="16" t="str"/>
      <x:c r="H33" s="16" t="str"/>
    </x:row>
    <x:row r="34">
      <x:c r="A34" s="16" t="str">
        <x:v>ADQ-03</x:v>
      </x:c>
      <x:c r="B34" s="16" t="str">
        <x:v>Adquisiciones</x:v>
      </x:c>
      <x:c r="C34" s="16" t="str">
        <x:v>Adquisición y recepción</x:v>
      </x:c>
      <x:c r="D34" s="16" t="str">
        <x:v>Órdenes de compra, actas de recepción y control de entrega.</x:v>
      </x:c>
      <x:c r="E34" s="16" t="n">
        <x:v>4</x:v>
      </x:c>
      <x:c r="F34" s="16" t="str"/>
      <x:c r="G34" s="16" t="str"/>
      <x:c r="H34" s="16" t="str"/>
    </x:row>
    <x:row r="35">
      <x:c r="A35" s="16" t="str">
        <x:v>ADQ-04</x:v>
      </x:c>
      <x:c r="B35" s="16" t="str">
        <x:v>Adquisiciones</x:v>
      </x:c>
      <x:c r="C35" s="16" t="str">
        <x:v>Control documental y contractual</x:v>
      </x:c>
      <x:c r="D35" s="16" t="str">
        <x:v>Expediente de adquisición completo y actualizado.</x:v>
      </x:c>
      <x:c r="E35" s="16" t="n">
        <x:v>4</x:v>
      </x:c>
      <x:c r="F35" s="16" t="str"/>
      <x:c r="G35" s="16" t="str"/>
      <x:c r="H35" s="16" t="str"/>
    </x:row>
    <x:row r="36">
      <x:c r="A36" s="16" t="str">
        <x:v>SOF-01</x:v>
      </x:c>
      <x:c r="B36" s="16" t="str">
        <x:v>Software</x:v>
      </x:c>
      <x:c r="C36" s="16" t="str">
        <x:v>Diseño funcional y técnico</x:v>
      </x:c>
      <x:c r="D36" s="16" t="str">
        <x:v>Prototipos aprobados, modelo de datos y diseño técnico.</x:v>
      </x:c>
      <x:c r="E36" s="16" t="n">
        <x:v>6</x:v>
      </x:c>
      <x:c r="F36" s="16" t="str"/>
      <x:c r="G36" s="16" t="str"/>
      <x:c r="H36" s="16" t="str"/>
    </x:row>
    <x:row r="37">
      <x:c r="A37" s="16" t="str">
        <x:v>SOF-02</x:v>
      </x:c>
      <x:c r="B37" s="16" t="str">
        <x:v>Software</x:v>
      </x:c>
      <x:c r="C37" s="16" t="str">
        <x:v>Módulos de operación</x:v>
      </x:c>
      <x:c r="D37" s="16" t="str">
        <x:v>Módulos operativos, pruebas funcionales y UAT por área.</x:v>
      </x:c>
      <x:c r="E37" s="16" t="n">
        <x:v>6</x:v>
      </x:c>
      <x:c r="F37" s="16" t="str"/>
      <x:c r="G37" s="16" t="str"/>
      <x:c r="H37" s="16" t="str"/>
    </x:row>
    <x:row r="38">
      <x:c r="A38" s="16" t="str">
        <x:v>SOF-03</x:v>
      </x:c>
      <x:c r="B38" s="16" t="str">
        <x:v>Software</x:v>
      </x:c>
      <x:c r="C38" s="16" t="str">
        <x:v>Módulos de gestión</x:v>
      </x:c>
      <x:c r="D38" s="16" t="str">
        <x:v>Reportes, pruebas de integración y validación gerencial.</x:v>
      </x:c>
      <x:c r="E38" s="16" t="n">
        <x:v>6</x:v>
      </x:c>
      <x:c r="F38" s="16" t="str"/>
      <x:c r="G38" s="16" t="str"/>
      <x:c r="H38" s="16" t="str"/>
    </x:row>
    <x:row r="39">
      <x:c r="A39" s="16" t="str">
        <x:v>SOF-04</x:v>
      </x:c>
      <x:c r="B39" s="16" t="str">
        <x:v>Software</x:v>
      </x:c>
      <x:c r="C39" s="16" t="str">
        <x:v>Migración de datos</x:v>
      </x:c>
      <x:c r="D39" s="16" t="str">
        <x:v>Datos cargados, conciliados y aprobados por áreas responsables.</x:v>
      </x:c>
      <x:c r="E39" s="16" t="n">
        <x:v>6</x:v>
      </x:c>
      <x:c r="F39" s="16" t="str"/>
      <x:c r="G39" s="16" t="str"/>
      <x:c r="H39" s="16" t="str"/>
    </x:row>
    <x:row r="40">
      <x:c r="A40" s="16" t="str">
        <x:v>SOF-05</x:v>
      </x:c>
      <x:c r="B40" s="16" t="str">
        <x:v>Software</x:v>
      </x:c>
      <x:c r="C40" s="16" t="str">
        <x:v>Documentación, pruebas y capacitación</x:v>
      </x:c>
      <x:c r="D40" s="16" t="str">
        <x:v>Manuales, matriz de pruebas, UAT firmado y acta de aceptación.</x:v>
      </x:c>
      <x:c r="E40" s="16" t="n">
        <x:v>6</x:v>
      </x:c>
      <x:c r="F40" s="16" t="str"/>
      <x:c r="G40" s="16" t="str"/>
      <x:c r="H40" s="16" t="str"/>
    </x:row>
    <x:row r="41">
      <x:c r="A41" s="16" t="str">
        <x:v>RED-01</x:v>
      </x:c>
      <x:c r="B41" s="16" t="str">
        <x:v>Redes</x:v>
      </x:c>
      <x:c r="C41" s="16" t="str">
        <x:v>Contratación y conectividad</x:v>
      </x:c>
      <x:c r="D41" s="16" t="str">
        <x:v>Contratos, responsables, cronograma y SLA.</x:v>
      </x:c>
      <x:c r="E41" s="16" t="n">
        <x:v>5</x:v>
      </x:c>
      <x:c r="F41" s="16" t="str"/>
      <x:c r="G41" s="16" t="str"/>
      <x:c r="H41" s="16" t="str"/>
    </x:row>
    <x:row r="42">
      <x:c r="A42" s="16" t="str">
        <x:v>RED-02</x:v>
      </x:c>
      <x:c r="B42" s="16" t="str">
        <x:v>Redes</x:v>
      </x:c>
      <x:c r="C42" s="16" t="str">
        <x:v>Preparación e instalación de red</x:v>
      </x:c>
      <x:c r="D42" s="16" t="str">
        <x:v>Equipos instalados, puntos certificados y evidencias físicas.</x:v>
      </x:c>
      <x:c r="E42" s="16" t="n">
        <x:v>5</x:v>
      </x:c>
      <x:c r="F42" s="16" t="str"/>
      <x:c r="G42" s="16" t="str"/>
      <x:c r="H42" s="16" t="str"/>
    </x:row>
    <x:row r="43">
      <x:c r="A43" s="16" t="str">
        <x:v>RED-03</x:v>
      </x:c>
      <x:c r="B43" s="16" t="str">
        <x:v>Redes</x:v>
      </x:c>
      <x:c r="C43" s="16" t="str">
        <x:v>VPN sucursal-cloud</x:v>
      </x:c>
      <x:c r="D43" s="16" t="str">
        <x:v>VPN operativa, pruebas de conexión y documentación.</x:v>
      </x:c>
      <x:c r="E43" s="16" t="n">
        <x:v>5</x:v>
      </x:c>
      <x:c r="F43" s="16" t="str"/>
      <x:c r="G43" s="16" t="str"/>
      <x:c r="H43" s="16" t="str"/>
    </x:row>
    <x:row r="44">
      <x:c r="A44" s="16" t="str">
        <x:v>RED-04</x:v>
      </x:c>
      <x:c r="B44" s="16" t="str">
        <x:v>Redes</x:v>
      </x:c>
      <x:c r="C44" s="16" t="str">
        <x:v>Seguridad de red</x:v>
      </x:c>
      <x:c r="D44" s="16" t="str">
        <x:v>Reglas firewall, VLAN validadas y acceso seguro probado.</x:v>
      </x:c>
      <x:c r="E44" s="16" t="n">
        <x:v>5</x:v>
      </x:c>
      <x:c r="F44" s="16" t="str"/>
      <x:c r="G44" s="16" t="str"/>
      <x:c r="H44" s="16" t="str"/>
    </x:row>
    <x:row r="45">
      <x:c r="A45" s="16" t="str">
        <x:v>RED-05</x:v>
      </x:c>
      <x:c r="B45" s="16" t="str">
        <x:v>Redes</x:v>
      </x:c>
      <x:c r="C45" s="16" t="str">
        <x:v>Pruebas y documentación as-built</x:v>
      </x:c>
      <x:c r="D45" s="16" t="str">
        <x:v>Informe de pruebas y documentación as-built aprobada.</x:v>
      </x:c>
      <x:c r="E45" s="16" t="n">
        <x:v>5</x:v>
      </x:c>
      <x:c r="F45" s="16" t="str"/>
      <x:c r="G45" s="16" t="str"/>
      <x:c r="H45" s="16" t="str"/>
    </x:row>
    <x:row r="46">
      <x:c r="A46" s="16" t="str">
        <x:v>INF-01</x:v>
      </x:c>
      <x:c r="B46" s="16" t="str">
        <x:v>Infraestructura</x:v>
      </x:c>
      <x:c r="C46" s="16" t="str">
        <x:v>Expertos y preparación del terreno</x:v>
      </x:c>
      <x:c r="D46" s="16" t="str">
        <x:v>Contrato, plan de trabajo y área preparada.</x:v>
      </x:c>
      <x:c r="E46" s="16" t="n">
        <x:v>5</x:v>
      </x:c>
      <x:c r="F46" s="16" t="str"/>
      <x:c r="G46" s="16" t="str"/>
      <x:c r="H46" s="16" t="str"/>
    </x:row>
    <x:row r="47">
      <x:c r="A47" s="16" t="str">
        <x:v>INF-02</x:v>
      </x:c>
      <x:c r="B47" s="16" t="str">
        <x:v>Infraestructura</x:v>
      </x:c>
      <x:c r="C47" s="16" t="str">
        <x:v>Racks, gabinetes y UPS</x:v>
      </x:c>
      <x:c r="D47" s="16" t="str">
        <x:v>Equipos instalados, pruebas eléctricas y acta de conformidad.</x:v>
      </x:c>
      <x:c r="E47" s="16" t="n">
        <x:v>5</x:v>
      </x:c>
      <x:c r="F47" s="16" t="str"/>
      <x:c r="G47" s="16" t="str"/>
      <x:c r="H47" s="16" t="str"/>
    </x:row>
    <x:row r="48">
      <x:c r="A48" s="16" t="str">
        <x:v>INF-03</x:v>
      </x:c>
      <x:c r="B48" s="16" t="str">
        <x:v>Infraestructura</x:v>
      </x:c>
      <x:c r="C48" s="16" t="str">
        <x:v>Etiquetado y ordenamiento</x:v>
      </x:c>
      <x:c r="D48" s="16" t="str">
        <x:v>Etiquetas, inventario y fotografías de conformidad.</x:v>
      </x:c>
      <x:c r="E48" s="16" t="n">
        <x:v>5</x:v>
      </x:c>
      <x:c r="F48" s="16" t="str"/>
      <x:c r="G48" s="16" t="str"/>
      <x:c r="H48" s="16" t="str"/>
    </x:row>
    <x:row r="49">
      <x:c r="A49" s="16" t="str">
        <x:v>INF-04</x:v>
      </x:c>
      <x:c r="B49" s="16" t="str">
        <x:v>Infraestructura</x:v>
      </x:c>
      <x:c r="C49" s="16" t="str">
        <x:v>Equipamiento de tienda</x:v>
      </x:c>
      <x:c r="D49" s="16" t="str">
        <x:v>Equipos operativos, inventario de activos y pruebas de uso.</x:v>
      </x:c>
      <x:c r="E49" s="16" t="n">
        <x:v>5</x:v>
      </x:c>
      <x:c r="F49" s="16" t="str"/>
      <x:c r="G49" s="16" t="str"/>
      <x:c r="H49" s="16" t="str"/>
    </x:row>
    <x:row r="50">
      <x:c r="A50" s="16" t="str">
        <x:v>INF-05</x:v>
      </x:c>
      <x:c r="B50" s="16" t="str">
        <x:v>Infraestructura</x:v>
      </x:c>
      <x:c r="C50" s="16" t="str">
        <x:v>Respaldo local y continuidad</x:v>
      </x:c>
      <x:c r="D50" s="16" t="str">
        <x:v>Equipo operativo, repositorio configurado y prueba de recuperación.</x:v>
      </x:c>
      <x:c r="E50" s="16" t="n">
        <x:v>5</x:v>
      </x:c>
      <x:c r="F50" s="16" t="str"/>
      <x:c r="G50" s="16" t="str"/>
      <x:c r="H50" s="16" t="str"/>
    </x:row>
    <x:row r="51">
      <x:c r="A51" s="16" t="str">
        <x:v>INF-06</x:v>
      </x:c>
      <x:c r="B51" s="16" t="str">
        <x:v>Infraestructura</x:v>
      </x:c>
      <x:c r="C51" s="16" t="str">
        <x:v>Seguridad física de TI</x:v>
      </x:c>
      <x:c r="D51" s="16" t="str">
        <x:v>Controles instalados, señalética visible y acta de validación.</x:v>
      </x:c>
      <x:c r="E51" s="16" t="n">
        <x:v>5</x:v>
      </x:c>
      <x:c r="F51" s="16" t="str"/>
      <x:c r="G51" s="16" t="str"/>
      <x:c r="H51" s="16" t="str"/>
    </x:row>
    <x:row r="52">
      <x:c r="A52" s="16" t="str">
        <x:v>INF-07</x:v>
      </x:c>
      <x:c r="B52" s="16" t="str">
        <x:v>Infraestructura</x:v>
      </x:c>
      <x:c r="C52" s="16" t="str">
        <x:v>Mantenimiento y mesa de ayuda</x:v>
      </x:c>
      <x:c r="D52" s="16" t="str">
        <x:v>Plan aprobado, matriz de escalamiento y manual de soporte.</x:v>
      </x:c>
      <x:c r="E52" s="16" t="n">
        <x:v>5</x:v>
      </x:c>
      <x:c r="F52" s="16" t="str"/>
      <x:c r="G52" s="16" t="str"/>
      <x:c r="H52" s="16" t="str"/>
    </x:row>
    <x:row r="53">
      <x:c r="A53" s="14"/>
      <x:c r="B53" s="14"/>
      <x:c r="C53" s="14"/>
      <x:c r="D53" s="14"/>
      <x:c r="E53" s="14"/>
      <x:c r="F53" s="14"/>
      <x:c r="G53" s="14"/>
      <x:c r="H53" s="14"/>
    </x:row>
    <x:row r="54">
      <x:c r="A54" s="14"/>
      <x:c r="B54" s="14"/>
      <x:c r="C54" s="14"/>
      <x:c r="D54" s="14"/>
      <x:c r="E54" s="14"/>
      <x:c r="F54" s="14"/>
      <x:c r="G54" s="14"/>
      <x:c r="H54" s="14"/>
    </x:row>
    <x:row r="55">
      <x:c r="A55" s="12" t="str">
        <x:v>Resultado de la evaluación</x:v>
      </x:c>
      <x:c r="B55" s="12" t="str"/>
      <x:c r="C55" s="14"/>
      <x:c r="D55" s="14"/>
      <x:c r="E55" s="14"/>
      <x:c r="F55" s="14"/>
      <x:c r="G55" s="14"/>
      <x:c r="H55" s="14"/>
    </x:row>
    <x:row r="56">
      <x:c r="A56" s="62" t="str">
        <x:v>Promedio ponderado</x:v>
      </x:c>
      <x:c r="B56" s="76" t="str">
        <x:f>IFERROR(SUMPRODUCT(E21:E52,F21:F52)/SUMIF(F21:F52,"&gt;0",E21:E52),"")</x:f>
      </x:c>
      <x:c r="C56" s="14"/>
      <x:c r="D56" s="14"/>
      <x:c r="E56" s="14"/>
      <x:c r="F56" s="14"/>
      <x:c r="G56" s="14"/>
      <x:c r="H56" s="14"/>
    </x:row>
    <x:row r="57">
      <x:c r="A57" s="62" t="str">
        <x:v>Nivel</x:v>
      </x:c>
      <x:c r="B57" s="76" t="str">
        <x:f>IF(B56="","",IF(B56&gt;=4.5,"Excelente",IF(B56&gt;=3.7,"Muy bueno",IF(B56&gt;=3,"Bueno","Requiere plan de mejora"))))</x:f>
      </x:c>
      <x:c r="C57" s="14"/>
      <x:c r="D57" s="14"/>
      <x:c r="E57" s="14"/>
      <x:c r="F57" s="14"/>
      <x:c r="G57" s="14"/>
      <x:c r="H57" s="14"/>
    </x:row>
    <x:row r="58">
      <x:c r="A58" s="62" t="str">
        <x:v>Fortalezas principales</x:v>
      </x:c>
      <x:c r="B58" s="16" t="str"/>
      <x:c r="C58" s="14"/>
      <x:c r="D58" s="14"/>
      <x:c r="E58" s="14"/>
      <x:c r="F58" s="14"/>
      <x:c r="G58" s="14"/>
      <x:c r="H58" s="14"/>
    </x:row>
    <x:row r="59">
      <x:c r="A59" s="62" t="str">
        <x:v>Oportunidades de mejora</x:v>
      </x:c>
      <x:c r="B59" s="16" t="str"/>
      <x:c r="C59" s="14"/>
      <x:c r="D59" s="14"/>
      <x:c r="E59" s="14"/>
      <x:c r="F59" s="14"/>
      <x:c r="G59" s="14"/>
      <x:c r="H59" s="14"/>
    </x:row>
    <x:row r="60">
      <x:c r="A60" s="62" t="str">
        <x:v>Compromisos acordados</x:v>
      </x:c>
      <x:c r="B60" s="16" t="str"/>
      <x:c r="C60" s="14"/>
      <x:c r="D60" s="14"/>
      <x:c r="E60" s="14"/>
      <x:c r="F60" s="14"/>
      <x:c r="G60" s="14"/>
      <x:c r="H60" s="14"/>
    </x:row>
    <x:row r="61">
      <x:c r="A61" s="62" t="str">
        <x:v>Firma evaluador</x:v>
      </x:c>
      <x:c r="B61" s="16" t="str"/>
      <x:c r="C61" s="14"/>
      <x:c r="D61" s="14"/>
      <x:c r="E61" s="14"/>
      <x:c r="F61" s="14"/>
      <x:c r="G61" s="14"/>
      <x:c r="H61" s="14"/>
    </x:row>
    <x:row r="62">
      <x:c r="A62" s="62" t="str">
        <x:v>Firma evaluado</x:v>
      </x:c>
      <x:c r="B62" s="16" t="str"/>
      <x:c r="C62" s="14"/>
      <x:c r="D62" s="14"/>
      <x:c r="E62" s="14"/>
      <x:c r="F62" s="14"/>
      <x:c r="G62" s="14"/>
      <x:c r="H62" s="14"/>
    </x:row>
    <x:row r="63">
      <x:c r="A63" s="14"/>
      <x:c r="B63" s="14"/>
      <x:c r="C63" s="14"/>
      <x:c r="D63" s="14"/>
      <x:c r="E63" s="14"/>
      <x:c r="F63" s="14"/>
      <x:c r="G63" s="14"/>
      <x:c r="H63" s="14"/>
    </x:row>
  </x:sheetData>
  <x:mergeCells>
    <x:mergeCell ref="A1:H1"/>
    <x:mergeCell ref="A2:H2"/>
    <x:mergeCell ref="A8:H8"/>
    <x:mergeCell ref="A12:H12"/>
  </x:mergeCells>
  <x:conditionalFormatting sqref="F21:F52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4">
    <x:dataValidation type="list" sqref="F21:F52">
      <x:formula1>"1,2,3,4,5"</x:formula1>
    </x:dataValidation>
    <x:dataValidation type="list" sqref="F9">
      <x:formula1>Listas!$A$2:$A$9</x:formula1>
    </x:dataValidation>
    <x:dataValidation type="list" sqref="D10">
      <x:formula1>Listas!$B$2:$B$6</x:formula1>
    </x:dataValidation>
    <x:dataValidation type="list" sqref="H10">
      <x:formula1>Listas!$D$2:$D$4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6" hidden="0" customWidth="1"/>
    <x:col min="8" max="8" width="16" hidden="0" customWidth="1"/>
    <x:col min="9" max="9" width="18" hidden="0" customWidth="1"/>
    <x:col min="10" max="10" width="38" hidden="0" customWidth="1"/>
    <x:col min="11" max="11" width="38" hidden="0" customWidth="1"/>
    <x:col min="12" max="12" width="24" hidden="0" customWidth="1"/>
    <x:col min="13" max="13" width="18" hidden="0" customWidth="1"/>
    <x:col min="14" max="14" width="16" hidden="0" customWidth="1"/>
  </x:cols>
  <x:sheetData>
    <x:row r="1">
      <x:c r="A1" s="12" t="str">
        <x:v>ID evaluación</x:v>
      </x:c>
      <x:c r="B1" s="78" t="str">
        <x:v>Fecha</x:v>
      </x:c>
      <x:c r="C1" s="12" t="str">
        <x:v>Evaluado</x:v>
      </x:c>
      <x:c r="D1" s="12" t="str">
        <x:v>Rol/cargo</x:v>
      </x:c>
      <x:c r="E1" s="12" t="str">
        <x:v>Componente EDT</x:v>
      </x:c>
      <x:c r="F1" s="12" t="str">
        <x:v>Evaluador</x:v>
      </x:c>
      <x:c r="G1" s="12" t="str">
        <x:v>Relación</x:v>
      </x:c>
      <x:c r="H1" s="12" t="str">
        <x:v>Promedio general</x:v>
      </x:c>
      <x:c r="I1" s="12" t="str">
        <x:v>Nivel</x:v>
      </x:c>
      <x:c r="J1" s="12" t="str">
        <x:v>Hallazgo principal</x:v>
      </x:c>
      <x:c r="K1" s="12" t="str">
        <x:v>Acción de mejora</x:v>
      </x:c>
      <x:c r="L1" s="12" t="str">
        <x:v>Responsable seguimiento</x:v>
      </x:c>
      <x:c r="M1" s="78" t="str">
        <x:v>Fecha compromiso</x:v>
      </x:c>
      <x:c r="N1" s="12" t="str">
        <x:v>Estado</x:v>
      </x:c>
    </x:row>
    <x:row r="2">
      <x:c r="A2" s="16" t="str">
        <x:v>EV-001</x:v>
      </x:c>
      <x:c r="B2" s="16" t="str"/>
      <x:c r="C2" s="16" t="str"/>
      <x:c r="D2" s="16" t="str"/>
      <x:c r="E2" s="16" t="str">
        <x:v>Cloud</x:v>
      </x:c>
      <x:c r="F2" s="16" t="str"/>
      <x:c r="G2" s="16" t="str">
        <x:v>Jefe directo</x:v>
      </x:c>
      <x:c r="H2" s="76" t="str"/>
      <x:c r="I2" s="16" t="str"/>
      <x:c r="J2" s="16" t="str"/>
      <x:c r="K2" s="16" t="str"/>
      <x:c r="L2" s="16" t="str"/>
      <x:c r="M2" s="16" t="str"/>
      <x:c r="N2" s="16" t="str">
        <x:v>Pendiente</x:v>
      </x:c>
    </x:row>
    <x:row r="3">
      <x:c r="A3" s="16" t="str">
        <x:v>EV-002</x:v>
      </x:c>
      <x:c r="B3" s="16" t="str"/>
      <x:c r="C3" s="16" t="str"/>
      <x:c r="D3" s="16" t="str"/>
      <x:c r="E3" s="16" t="str">
        <x:v>Software</x:v>
      </x:c>
      <x:c r="F3" s="16" t="str"/>
      <x:c r="G3" s="16" t="str">
        <x:v>Cliente interno/usuario clave</x:v>
      </x:c>
      <x:c r="H3" s="76" t="str"/>
      <x:c r="I3" s="16" t="str"/>
      <x:c r="J3" s="16" t="str"/>
      <x:c r="K3" s="16" t="str"/>
      <x:c r="L3" s="16" t="str"/>
      <x:c r="M3" s="16" t="str"/>
      <x:c r="N3" s="16" t="str">
        <x:v>Pendiente</x:v>
      </x:c>
    </x:row>
    <x:row r="4">
      <x:c r="A4" s="16" t="str">
        <x:v>EV-003</x:v>
      </x:c>
      <x:c r="B4" s="16" t="str"/>
      <x:c r="C4" s="16" t="str"/>
      <x:c r="D4" s="16" t="str"/>
      <x:c r="E4" s="16" t="str">
        <x:v>Redes</x:v>
      </x:c>
      <x:c r="F4" s="16" t="str"/>
      <x:c r="G4" s="16" t="str">
        <x:v>Compañero/par</x:v>
      </x:c>
      <x:c r="H4" s="76" t="str"/>
      <x:c r="I4" s="16" t="str"/>
      <x:c r="J4" s="16" t="str"/>
      <x:c r="K4" s="16" t="str"/>
      <x:c r="L4" s="16" t="str"/>
      <x:c r="M4" s="16" t="str"/>
      <x:c r="N4" s="16" t="str">
        <x:v>Pendiente</x:v>
      </x:c>
    </x:row>
    <x:row r="5">
      <x:c r="A5" s="16"/>
      <x:c r="B5" s="16"/>
      <x:c r="C5" s="16"/>
      <x:c r="D5" s="16"/>
      <x:c r="E5" s="16"/>
      <x:c r="F5" s="16"/>
      <x:c r="G5" s="16"/>
      <x:c r="H5" s="76"/>
      <x:c r="I5" s="16"/>
      <x:c r="J5" s="16"/>
      <x:c r="K5" s="16"/>
      <x:c r="L5" s="16"/>
      <x:c r="M5" s="16"/>
      <x:c r="N5" s="16"/>
    </x:row>
    <x:row r="6">
      <x:c r="A6" s="16"/>
      <x:c r="B6" s="16"/>
      <x:c r="C6" s="16"/>
      <x:c r="D6" s="16"/>
      <x:c r="E6" s="16"/>
      <x:c r="F6" s="16"/>
      <x:c r="G6" s="16"/>
      <x:c r="H6" s="76"/>
      <x:c r="I6" s="16"/>
      <x:c r="J6" s="16"/>
      <x:c r="K6" s="16"/>
      <x:c r="L6" s="16"/>
      <x:c r="M6" s="16"/>
      <x:c r="N6" s="16"/>
    </x:row>
    <x:row r="7">
      <x:c r="A7" s="16"/>
      <x:c r="B7" s="16"/>
      <x:c r="C7" s="16"/>
      <x:c r="D7" s="16"/>
      <x:c r="E7" s="16"/>
      <x:c r="F7" s="16"/>
      <x:c r="G7" s="16"/>
      <x:c r="H7" s="76"/>
      <x:c r="I7" s="16"/>
      <x:c r="J7" s="16"/>
      <x:c r="K7" s="16"/>
      <x:c r="L7" s="16"/>
      <x:c r="M7" s="16"/>
      <x:c r="N7" s="16"/>
    </x:row>
    <x:row r="8">
      <x:c r="A8" s="16"/>
      <x:c r="B8" s="16"/>
      <x:c r="C8" s="16"/>
      <x:c r="D8" s="16"/>
      <x:c r="E8" s="16"/>
      <x:c r="F8" s="16"/>
      <x:c r="G8" s="16"/>
      <x:c r="H8" s="76"/>
      <x:c r="I8" s="16"/>
      <x:c r="J8" s="16"/>
      <x:c r="K8" s="16"/>
      <x:c r="L8" s="16"/>
      <x:c r="M8" s="16"/>
      <x:c r="N8" s="16"/>
    </x:row>
    <x:row r="9">
      <x:c r="A9" s="16"/>
      <x:c r="B9" s="16"/>
      <x:c r="C9" s="16"/>
      <x:c r="D9" s="16"/>
      <x:c r="E9" s="16"/>
      <x:c r="F9" s="16"/>
      <x:c r="G9" s="16"/>
      <x:c r="H9" s="76"/>
      <x:c r="I9" s="16"/>
      <x:c r="J9" s="16"/>
      <x:c r="K9" s="16"/>
      <x:c r="L9" s="16"/>
      <x:c r="M9" s="16"/>
      <x:c r="N9" s="16"/>
    </x:row>
    <x:row r="10">
      <x:c r="A10" s="16"/>
      <x:c r="B10" s="16"/>
      <x:c r="C10" s="16"/>
      <x:c r="D10" s="16"/>
      <x:c r="E10" s="16"/>
      <x:c r="F10" s="16"/>
      <x:c r="G10" s="16"/>
      <x:c r="H10" s="76"/>
      <x:c r="I10" s="16"/>
      <x:c r="J10" s="16"/>
      <x:c r="K10" s="16"/>
      <x:c r="L10" s="16"/>
      <x:c r="M10" s="16"/>
      <x:c r="N10" s="16"/>
    </x:row>
    <x:row r="11">
      <x:c r="A11" s="16"/>
      <x:c r="B11" s="16"/>
      <x:c r="C11" s="16"/>
      <x:c r="D11" s="16"/>
      <x:c r="E11" s="16"/>
      <x:c r="F11" s="16"/>
      <x:c r="G11" s="16"/>
      <x:c r="H11" s="76"/>
      <x:c r="I11" s="16"/>
      <x:c r="J11" s="16"/>
      <x:c r="K11" s="16"/>
      <x:c r="L11" s="16"/>
      <x:c r="M11" s="16"/>
      <x:c r="N11" s="16"/>
    </x:row>
    <x:row r="12">
      <x:c r="A12" s="16"/>
      <x:c r="B12" s="16"/>
      <x:c r="C12" s="16"/>
      <x:c r="D12" s="16"/>
      <x:c r="E12" s="16"/>
      <x:c r="F12" s="16"/>
      <x:c r="G12" s="16"/>
      <x:c r="H12" s="76"/>
      <x:c r="I12" s="16"/>
      <x:c r="J12" s="16"/>
      <x:c r="K12" s="16"/>
      <x:c r="L12" s="16"/>
      <x:c r="M12" s="16"/>
      <x:c r="N12" s="16"/>
    </x:row>
    <x:row r="13">
      <x:c r="A13" s="16"/>
      <x:c r="B13" s="16"/>
      <x:c r="C13" s="16"/>
      <x:c r="D13" s="16"/>
      <x:c r="E13" s="16"/>
      <x:c r="F13" s="16"/>
      <x:c r="G13" s="16"/>
      <x:c r="H13" s="76"/>
      <x:c r="I13" s="16"/>
      <x:c r="J13" s="16"/>
      <x:c r="K13" s="16"/>
      <x:c r="L13" s="16"/>
      <x:c r="M13" s="16"/>
      <x:c r="N13" s="16"/>
    </x:row>
    <x:row r="14">
      <x:c r="A14" s="16"/>
      <x:c r="B14" s="16"/>
      <x:c r="C14" s="16"/>
      <x:c r="D14" s="16"/>
      <x:c r="E14" s="16"/>
      <x:c r="F14" s="16"/>
      <x:c r="G14" s="16"/>
      <x:c r="H14" s="76"/>
      <x:c r="I14" s="16"/>
      <x:c r="J14" s="16"/>
      <x:c r="K14" s="16"/>
      <x:c r="L14" s="16"/>
      <x:c r="M14" s="16"/>
      <x:c r="N14" s="16"/>
    </x:row>
    <x:row r="15">
      <x:c r="A15" s="16"/>
      <x:c r="B15" s="16"/>
      <x:c r="C15" s="16"/>
      <x:c r="D15" s="16"/>
      <x:c r="E15" s="16"/>
      <x:c r="F15" s="16"/>
      <x:c r="G15" s="16"/>
      <x:c r="H15" s="76"/>
      <x:c r="I15" s="16"/>
      <x:c r="J15" s="16"/>
      <x:c r="K15" s="16"/>
      <x:c r="L15" s="16"/>
      <x:c r="M15" s="16"/>
      <x:c r="N15" s="16"/>
    </x:row>
    <x:row r="16">
      <x:c r="A16" s="16"/>
      <x:c r="B16" s="16"/>
      <x:c r="C16" s="16"/>
      <x:c r="D16" s="16"/>
      <x:c r="E16" s="16"/>
      <x:c r="F16" s="16"/>
      <x:c r="G16" s="16"/>
      <x:c r="H16" s="76"/>
      <x:c r="I16" s="16"/>
      <x:c r="J16" s="16"/>
      <x:c r="K16" s="16"/>
      <x:c r="L16" s="16"/>
      <x:c r="M16" s="16"/>
      <x:c r="N16" s="16"/>
    </x:row>
    <x:row r="17">
      <x:c r="A17" s="16"/>
      <x:c r="B17" s="16"/>
      <x:c r="C17" s="16"/>
      <x:c r="D17" s="16"/>
      <x:c r="E17" s="16"/>
      <x:c r="F17" s="16"/>
      <x:c r="G17" s="16"/>
      <x:c r="H17" s="76"/>
      <x:c r="I17" s="16"/>
      <x:c r="J17" s="16"/>
      <x:c r="K17" s="16"/>
      <x:c r="L17" s="16"/>
      <x:c r="M17" s="16"/>
      <x:c r="N17" s="16"/>
    </x:row>
    <x:row r="18">
      <x:c r="A18" s="16"/>
      <x:c r="B18" s="16"/>
      <x:c r="C18" s="16"/>
      <x:c r="D18" s="16"/>
      <x:c r="E18" s="16"/>
      <x:c r="F18" s="16"/>
      <x:c r="G18" s="16"/>
      <x:c r="H18" s="76"/>
      <x:c r="I18" s="16"/>
      <x:c r="J18" s="16"/>
      <x:c r="K18" s="16"/>
      <x:c r="L18" s="16"/>
      <x:c r="M18" s="16"/>
      <x:c r="N18" s="16"/>
    </x:row>
    <x:row r="19">
      <x:c r="A19" s="16"/>
      <x:c r="B19" s="16"/>
      <x:c r="C19" s="16"/>
      <x:c r="D19" s="16"/>
      <x:c r="E19" s="16"/>
      <x:c r="F19" s="16"/>
      <x:c r="G19" s="16"/>
      <x:c r="H19" s="76"/>
      <x:c r="I19" s="16"/>
      <x:c r="J19" s="16"/>
      <x:c r="K19" s="16"/>
      <x:c r="L19" s="16"/>
      <x:c r="M19" s="16"/>
      <x:c r="N19" s="16"/>
    </x:row>
    <x:row r="20">
      <x:c r="A20" s="16"/>
      <x:c r="B20" s="16"/>
      <x:c r="C20" s="16"/>
      <x:c r="D20" s="16"/>
      <x:c r="E20" s="16"/>
      <x:c r="F20" s="16"/>
      <x:c r="G20" s="16"/>
      <x:c r="H20" s="76"/>
      <x:c r="I20" s="16"/>
      <x:c r="J20" s="16"/>
      <x:c r="K20" s="16"/>
      <x:c r="L20" s="16"/>
      <x:c r="M20" s="16"/>
      <x:c r="N20" s="16"/>
    </x:row>
    <x:row r="21">
      <x:c r="A21" s="16"/>
      <x:c r="B21" s="16"/>
      <x:c r="C21" s="16"/>
      <x:c r="D21" s="16"/>
      <x:c r="E21" s="16"/>
      <x:c r="F21" s="16"/>
      <x:c r="G21" s="16"/>
      <x:c r="H21" s="76"/>
      <x:c r="I21" s="16"/>
      <x:c r="J21" s="16"/>
      <x:c r="K21" s="16"/>
      <x:c r="L21" s="16"/>
      <x:c r="M21" s="16"/>
      <x:c r="N21" s="16"/>
    </x:row>
    <x:row r="22">
      <x:c r="A22" s="16"/>
      <x:c r="B22" s="16"/>
      <x:c r="C22" s="16"/>
      <x:c r="D22" s="16"/>
      <x:c r="E22" s="16"/>
      <x:c r="F22" s="16"/>
      <x:c r="G22" s="16"/>
      <x:c r="H22" s="76"/>
      <x:c r="I22" s="16"/>
      <x:c r="J22" s="16"/>
      <x:c r="K22" s="16"/>
      <x:c r="L22" s="16"/>
      <x:c r="M22" s="16"/>
      <x:c r="N22" s="16"/>
    </x:row>
    <x:row r="23">
      <x:c r="A23" s="16"/>
      <x:c r="B23" s="16"/>
      <x:c r="C23" s="16"/>
      <x:c r="D23" s="16"/>
      <x:c r="E23" s="16"/>
      <x:c r="F23" s="16"/>
      <x:c r="G23" s="16"/>
      <x:c r="H23" s="76"/>
      <x:c r="I23" s="16"/>
      <x:c r="J23" s="16"/>
      <x:c r="K23" s="16"/>
      <x:c r="L23" s="16"/>
      <x:c r="M23" s="16"/>
      <x:c r="N23" s="16"/>
    </x:row>
    <x:row r="24">
      <x:c r="A24" s="16"/>
      <x:c r="B24" s="16"/>
      <x:c r="C24" s="16"/>
      <x:c r="D24" s="16"/>
      <x:c r="E24" s="16"/>
      <x:c r="F24" s="16"/>
      <x:c r="G24" s="16"/>
      <x:c r="H24" s="76"/>
      <x:c r="I24" s="16"/>
      <x:c r="J24" s="16"/>
      <x:c r="K24" s="16"/>
      <x:c r="L24" s="16"/>
      <x:c r="M24" s="16"/>
      <x:c r="N24" s="16"/>
    </x:row>
    <x:row r="25">
      <x:c r="A25" s="16"/>
      <x:c r="B25" s="16"/>
      <x:c r="C25" s="16"/>
      <x:c r="D25" s="16"/>
      <x:c r="E25" s="16"/>
      <x:c r="F25" s="16"/>
      <x:c r="G25" s="16"/>
      <x:c r="H25" s="76"/>
      <x:c r="I25" s="16"/>
      <x:c r="J25" s="16"/>
      <x:c r="K25" s="16"/>
      <x:c r="L25" s="16"/>
      <x:c r="M25" s="16"/>
      <x:c r="N25" s="16"/>
    </x:row>
    <x:row r="26">
      <x:c r="A26" s="16"/>
      <x:c r="B26" s="16"/>
      <x:c r="C26" s="16"/>
      <x:c r="D26" s="16"/>
      <x:c r="E26" s="16"/>
      <x:c r="F26" s="16"/>
      <x:c r="G26" s="16"/>
      <x:c r="H26" s="76"/>
      <x:c r="I26" s="16"/>
      <x:c r="J26" s="16"/>
      <x:c r="K26" s="16"/>
      <x:c r="L26" s="16"/>
      <x:c r="M26" s="16"/>
      <x:c r="N26" s="16"/>
    </x:row>
    <x:row r="27">
      <x:c r="A27" s="16"/>
      <x:c r="B27" s="16"/>
      <x:c r="C27" s="16"/>
      <x:c r="D27" s="16"/>
      <x:c r="E27" s="16"/>
      <x:c r="F27" s="16"/>
      <x:c r="G27" s="16"/>
      <x:c r="H27" s="76"/>
      <x:c r="I27" s="16"/>
      <x:c r="J27" s="16"/>
      <x:c r="K27" s="16"/>
      <x:c r="L27" s="16"/>
      <x:c r="M27" s="16"/>
      <x:c r="N27" s="16"/>
    </x:row>
    <x:row r="28">
      <x:c r="A28" s="16"/>
      <x:c r="B28" s="16"/>
      <x:c r="C28" s="16"/>
      <x:c r="D28" s="16"/>
      <x:c r="E28" s="16"/>
      <x:c r="F28" s="16"/>
      <x:c r="G28" s="16"/>
      <x:c r="H28" s="76"/>
      <x:c r="I28" s="16"/>
      <x:c r="J28" s="16"/>
      <x:c r="K28" s="16"/>
      <x:c r="L28" s="16"/>
      <x:c r="M28" s="16"/>
      <x:c r="N28" s="16"/>
    </x:row>
    <x:row r="29">
      <x:c r="A29" s="16"/>
      <x:c r="B29" s="16"/>
      <x:c r="C29" s="16"/>
      <x:c r="D29" s="16"/>
      <x:c r="E29" s="16"/>
      <x:c r="F29" s="16"/>
      <x:c r="G29" s="16"/>
      <x:c r="H29" s="76"/>
      <x:c r="I29" s="16"/>
      <x:c r="J29" s="16"/>
      <x:c r="K29" s="16"/>
      <x:c r="L29" s="16"/>
      <x:c r="M29" s="16"/>
      <x:c r="N29" s="16"/>
    </x:row>
    <x:row r="30">
      <x:c r="A30" s="16"/>
      <x:c r="B30" s="16"/>
      <x:c r="C30" s="16"/>
      <x:c r="D30" s="16"/>
      <x:c r="E30" s="16"/>
      <x:c r="F30" s="16"/>
      <x:c r="G30" s="16"/>
      <x:c r="H30" s="76"/>
      <x:c r="I30" s="16"/>
      <x:c r="J30" s="16"/>
      <x:c r="K30" s="16"/>
      <x:c r="L30" s="16"/>
      <x:c r="M30" s="16"/>
      <x:c r="N30" s="16"/>
    </x:row>
    <x:row r="31">
      <x:c r="A31" s="16"/>
      <x:c r="B31" s="16"/>
      <x:c r="C31" s="16"/>
      <x:c r="D31" s="16"/>
      <x:c r="E31" s="16"/>
      <x:c r="F31" s="16"/>
      <x:c r="G31" s="16"/>
      <x:c r="H31" s="76"/>
      <x:c r="I31" s="16"/>
      <x:c r="J31" s="16"/>
      <x:c r="K31" s="16"/>
      <x:c r="L31" s="16"/>
      <x:c r="M31" s="16"/>
      <x:c r="N31" s="16"/>
    </x:row>
    <x:row r="32">
      <x:c r="A32" s="16"/>
      <x:c r="B32" s="16"/>
      <x:c r="C32" s="16"/>
      <x:c r="D32" s="16"/>
      <x:c r="E32" s="16"/>
      <x:c r="F32" s="16"/>
      <x:c r="G32" s="16"/>
      <x:c r="H32" s="76"/>
      <x:c r="I32" s="16"/>
      <x:c r="J32" s="16"/>
      <x:c r="K32" s="16"/>
      <x:c r="L32" s="16"/>
      <x:c r="M32" s="16"/>
      <x:c r="N32" s="16"/>
    </x:row>
    <x:row r="33">
      <x:c r="A33" s="16"/>
      <x:c r="B33" s="16"/>
      <x:c r="C33" s="16"/>
      <x:c r="D33" s="16"/>
      <x:c r="E33" s="16"/>
      <x:c r="F33" s="16"/>
      <x:c r="G33" s="16"/>
      <x:c r="H33" s="76"/>
      <x:c r="I33" s="16"/>
      <x:c r="J33" s="16"/>
      <x:c r="K33" s="16"/>
      <x:c r="L33" s="16"/>
      <x:c r="M33" s="16"/>
      <x:c r="N33" s="16"/>
    </x:row>
    <x:row r="34">
      <x:c r="A34" s="16"/>
      <x:c r="B34" s="16"/>
      <x:c r="C34" s="16"/>
      <x:c r="D34" s="16"/>
      <x:c r="E34" s="16"/>
      <x:c r="F34" s="16"/>
      <x:c r="G34" s="16"/>
      <x:c r="H34" s="76"/>
      <x:c r="I34" s="16"/>
      <x:c r="J34" s="16"/>
      <x:c r="K34" s="16"/>
      <x:c r="L34" s="16"/>
      <x:c r="M34" s="16"/>
      <x:c r="N34" s="16"/>
    </x:row>
    <x:row r="35">
      <x:c r="A35" s="16"/>
      <x:c r="B35" s="16"/>
      <x:c r="C35" s="16"/>
      <x:c r="D35" s="16"/>
      <x:c r="E35" s="16"/>
      <x:c r="F35" s="16"/>
      <x:c r="G35" s="16"/>
      <x:c r="H35" s="76"/>
      <x:c r="I35" s="16"/>
      <x:c r="J35" s="16"/>
      <x:c r="K35" s="16"/>
      <x:c r="L35" s="16"/>
      <x:c r="M35" s="16"/>
      <x:c r="N35" s="16"/>
    </x:row>
    <x:row r="36">
      <x:c r="A36" s="16"/>
      <x:c r="B36" s="16"/>
      <x:c r="C36" s="16"/>
      <x:c r="D36" s="16"/>
      <x:c r="E36" s="16"/>
      <x:c r="F36" s="16"/>
      <x:c r="G36" s="16"/>
      <x:c r="H36" s="76"/>
      <x:c r="I36" s="16"/>
      <x:c r="J36" s="16"/>
      <x:c r="K36" s="16"/>
      <x:c r="L36" s="16"/>
      <x:c r="M36" s="16"/>
      <x:c r="N36" s="16"/>
    </x:row>
    <x:row r="37">
      <x:c r="A37" s="16"/>
      <x:c r="B37" s="16"/>
      <x:c r="C37" s="16"/>
      <x:c r="D37" s="16"/>
      <x:c r="E37" s="16"/>
      <x:c r="F37" s="16"/>
      <x:c r="G37" s="16"/>
      <x:c r="H37" s="76"/>
      <x:c r="I37" s="16"/>
      <x:c r="J37" s="16"/>
      <x:c r="K37" s="16"/>
      <x:c r="L37" s="16"/>
      <x:c r="M37" s="16"/>
      <x:c r="N37" s="16"/>
    </x:row>
    <x:row r="38">
      <x:c r="A38" s="16"/>
      <x:c r="B38" s="16"/>
      <x:c r="C38" s="16"/>
      <x:c r="D38" s="16"/>
      <x:c r="E38" s="16"/>
      <x:c r="F38" s="16"/>
      <x:c r="G38" s="16"/>
      <x:c r="H38" s="76"/>
      <x:c r="I38" s="16"/>
      <x:c r="J38" s="16"/>
      <x:c r="K38" s="16"/>
      <x:c r="L38" s="16"/>
      <x:c r="M38" s="16"/>
      <x:c r="N38" s="16"/>
    </x:row>
    <x:row r="39">
      <x:c r="A39" s="16"/>
      <x:c r="B39" s="16"/>
      <x:c r="C39" s="16"/>
      <x:c r="D39" s="16"/>
      <x:c r="E39" s="16"/>
      <x:c r="F39" s="16"/>
      <x:c r="G39" s="16"/>
      <x:c r="H39" s="76"/>
      <x:c r="I39" s="16"/>
      <x:c r="J39" s="16"/>
      <x:c r="K39" s="16"/>
      <x:c r="L39" s="16"/>
      <x:c r="M39" s="16"/>
      <x:c r="N39" s="16"/>
    </x:row>
    <x:row r="40">
      <x:c r="A40" s="16"/>
      <x:c r="B40" s="16"/>
      <x:c r="C40" s="16"/>
      <x:c r="D40" s="16"/>
      <x:c r="E40" s="16"/>
      <x:c r="F40" s="16"/>
      <x:c r="G40" s="16"/>
      <x:c r="H40" s="76"/>
      <x:c r="I40" s="16"/>
      <x:c r="J40" s="16"/>
      <x:c r="K40" s="16"/>
      <x:c r="L40" s="16"/>
      <x:c r="M40" s="16"/>
      <x:c r="N40" s="16"/>
    </x:row>
    <x:row r="41">
      <x:c r="A41" s="16"/>
      <x:c r="B41" s="16"/>
      <x:c r="C41" s="16"/>
      <x:c r="D41" s="16"/>
      <x:c r="E41" s="16"/>
      <x:c r="F41" s="16"/>
      <x:c r="G41" s="16"/>
      <x:c r="H41" s="76"/>
      <x:c r="I41" s="16"/>
      <x:c r="J41" s="16"/>
      <x:c r="K41" s="16"/>
      <x:c r="L41" s="16"/>
      <x:c r="M41" s="16"/>
      <x:c r="N41" s="16"/>
    </x:row>
    <x:row r="42">
      <x:c r="A42" s="16"/>
      <x:c r="B42" s="16"/>
      <x:c r="C42" s="16"/>
      <x:c r="D42" s="16"/>
      <x:c r="E42" s="16"/>
      <x:c r="F42" s="16"/>
      <x:c r="G42" s="16"/>
      <x:c r="H42" s="76"/>
      <x:c r="I42" s="16"/>
      <x:c r="J42" s="16"/>
      <x:c r="K42" s="16"/>
      <x:c r="L42" s="16"/>
      <x:c r="M42" s="16"/>
      <x:c r="N42" s="16"/>
    </x:row>
    <x:row r="43">
      <x:c r="A43" s="16"/>
      <x:c r="B43" s="16"/>
      <x:c r="C43" s="16"/>
      <x:c r="D43" s="16"/>
      <x:c r="E43" s="16"/>
      <x:c r="F43" s="16"/>
      <x:c r="G43" s="16"/>
      <x:c r="H43" s="76"/>
      <x:c r="I43" s="16"/>
      <x:c r="J43" s="16"/>
      <x:c r="K43" s="16"/>
      <x:c r="L43" s="16"/>
      <x:c r="M43" s="16"/>
      <x:c r="N43" s="16"/>
    </x:row>
    <x:row r="44">
      <x:c r="A44" s="16"/>
      <x:c r="B44" s="16"/>
      <x:c r="C44" s="16"/>
      <x:c r="D44" s="16"/>
      <x:c r="E44" s="16"/>
      <x:c r="F44" s="16"/>
      <x:c r="G44" s="16"/>
      <x:c r="H44" s="76"/>
      <x:c r="I44" s="16"/>
      <x:c r="J44" s="16"/>
      <x:c r="K44" s="16"/>
      <x:c r="L44" s="16"/>
      <x:c r="M44" s="16"/>
      <x:c r="N44" s="16"/>
    </x:row>
    <x:row r="45">
      <x:c r="A45" s="16"/>
      <x:c r="B45" s="16"/>
      <x:c r="C45" s="16"/>
      <x:c r="D45" s="16"/>
      <x:c r="E45" s="16"/>
      <x:c r="F45" s="16"/>
      <x:c r="G45" s="16"/>
      <x:c r="H45" s="76"/>
      <x:c r="I45" s="16"/>
      <x:c r="J45" s="16"/>
      <x:c r="K45" s="16"/>
      <x:c r="L45" s="16"/>
      <x:c r="M45" s="16"/>
      <x:c r="N45" s="16"/>
    </x:row>
    <x:row r="46">
      <x:c r="A46" s="16"/>
      <x:c r="B46" s="16"/>
      <x:c r="C46" s="16"/>
      <x:c r="D46" s="16"/>
      <x:c r="E46" s="16"/>
      <x:c r="F46" s="16"/>
      <x:c r="G46" s="16"/>
      <x:c r="H46" s="76"/>
      <x:c r="I46" s="16"/>
      <x:c r="J46" s="16"/>
      <x:c r="K46" s="16"/>
      <x:c r="L46" s="16"/>
      <x:c r="M46" s="16"/>
      <x:c r="N46" s="16"/>
    </x:row>
    <x:row r="47">
      <x:c r="A47" s="16"/>
      <x:c r="B47" s="16"/>
      <x:c r="C47" s="16"/>
      <x:c r="D47" s="16"/>
      <x:c r="E47" s="16"/>
      <x:c r="F47" s="16"/>
      <x:c r="G47" s="16"/>
      <x:c r="H47" s="76"/>
      <x:c r="I47" s="16"/>
      <x:c r="J47" s="16"/>
      <x:c r="K47" s="16"/>
      <x:c r="L47" s="16"/>
      <x:c r="M47" s="16"/>
      <x:c r="N47" s="16"/>
    </x:row>
    <x:row r="48">
      <x:c r="A48" s="16"/>
      <x:c r="B48" s="16"/>
      <x:c r="C48" s="16"/>
      <x:c r="D48" s="16"/>
      <x:c r="E48" s="16"/>
      <x:c r="F48" s="16"/>
      <x:c r="G48" s="16"/>
      <x:c r="H48" s="76"/>
      <x:c r="I48" s="16"/>
      <x:c r="J48" s="16"/>
      <x:c r="K48" s="16"/>
      <x:c r="L48" s="16"/>
      <x:c r="M48" s="16"/>
      <x:c r="N48" s="16"/>
    </x:row>
    <x:row r="49">
      <x:c r="A49" s="16"/>
      <x:c r="B49" s="16"/>
      <x:c r="C49" s="16"/>
      <x:c r="D49" s="16"/>
      <x:c r="E49" s="16"/>
      <x:c r="F49" s="16"/>
      <x:c r="G49" s="16"/>
      <x:c r="H49" s="76"/>
      <x:c r="I49" s="16"/>
      <x:c r="J49" s="16"/>
      <x:c r="K49" s="16"/>
      <x:c r="L49" s="16"/>
      <x:c r="M49" s="16"/>
      <x:c r="N49" s="16"/>
    </x:row>
    <x:row r="50">
      <x:c r="A50" s="16"/>
      <x:c r="B50" s="16"/>
      <x:c r="C50" s="16"/>
      <x:c r="D50" s="16"/>
      <x:c r="E50" s="16"/>
      <x:c r="F50" s="16"/>
      <x:c r="G50" s="16"/>
      <x:c r="H50" s="76"/>
      <x:c r="I50" s="16"/>
      <x:c r="J50" s="16"/>
      <x:c r="K50" s="16"/>
      <x:c r="L50" s="16"/>
      <x:c r="M50" s="16"/>
      <x:c r="N50" s="16"/>
    </x:row>
    <x:row r="51">
      <x:c r="A51" s="16"/>
      <x:c r="B51" s="16"/>
      <x:c r="C51" s="16"/>
      <x:c r="D51" s="16"/>
      <x:c r="E51" s="16"/>
      <x:c r="F51" s="16"/>
      <x:c r="G51" s="16"/>
      <x:c r="H51" s="76"/>
      <x:c r="I51" s="16"/>
      <x:c r="J51" s="16"/>
      <x:c r="K51" s="16"/>
      <x:c r="L51" s="16"/>
      <x:c r="M51" s="16"/>
      <x:c r="N51" s="16"/>
    </x:row>
    <x:row r="52">
      <x:c r="A52" s="16"/>
      <x:c r="B52" s="16"/>
      <x:c r="C52" s="16"/>
      <x:c r="D52" s="16"/>
      <x:c r="E52" s="16"/>
      <x:c r="F52" s="16"/>
      <x:c r="G52" s="16"/>
      <x:c r="H52" s="76"/>
      <x:c r="I52" s="16"/>
      <x:c r="J52" s="16"/>
      <x:c r="K52" s="16"/>
      <x:c r="L52" s="16"/>
      <x:c r="M52" s="16"/>
      <x:c r="N52" s="16"/>
    </x:row>
    <x:row r="53">
      <x:c r="A53" s="16"/>
      <x:c r="B53" s="16"/>
      <x:c r="C53" s="16"/>
      <x:c r="D53" s="16"/>
      <x:c r="E53" s="16"/>
      <x:c r="F53" s="16"/>
      <x:c r="G53" s="16"/>
      <x:c r="H53" s="76"/>
      <x:c r="I53" s="16"/>
      <x:c r="J53" s="16"/>
      <x:c r="K53" s="16"/>
      <x:c r="L53" s="16"/>
      <x:c r="M53" s="16"/>
      <x:c r="N53" s="16"/>
    </x:row>
    <x:row r="54">
      <x:c r="A54" s="16"/>
      <x:c r="B54" s="16"/>
      <x:c r="C54" s="16"/>
      <x:c r="D54" s="16"/>
      <x:c r="E54" s="16"/>
      <x:c r="F54" s="16"/>
      <x:c r="G54" s="16"/>
      <x:c r="H54" s="76"/>
      <x:c r="I54" s="16"/>
      <x:c r="J54" s="16"/>
      <x:c r="K54" s="16"/>
      <x:c r="L54" s="16"/>
      <x:c r="M54" s="16"/>
      <x:c r="N54" s="16"/>
    </x:row>
    <x:row r="55">
      <x:c r="A55" s="16"/>
      <x:c r="B55" s="16"/>
      <x:c r="C55" s="16"/>
      <x:c r="D55" s="16"/>
      <x:c r="E55" s="16"/>
      <x:c r="F55" s="16"/>
      <x:c r="G55" s="16"/>
      <x:c r="H55" s="76"/>
      <x:c r="I55" s="16"/>
      <x:c r="J55" s="16"/>
      <x:c r="K55" s="16"/>
      <x:c r="L55" s="16"/>
      <x:c r="M55" s="16"/>
      <x:c r="N55" s="16"/>
    </x:row>
    <x:row r="56">
      <x:c r="A56" s="16"/>
      <x:c r="B56" s="16"/>
      <x:c r="C56" s="16"/>
      <x:c r="D56" s="16"/>
      <x:c r="E56" s="16"/>
      <x:c r="F56" s="16"/>
      <x:c r="G56" s="16"/>
      <x:c r="H56" s="76"/>
      <x:c r="I56" s="16"/>
      <x:c r="J56" s="16"/>
      <x:c r="K56" s="16"/>
      <x:c r="L56" s="16"/>
      <x:c r="M56" s="16"/>
      <x:c r="N56" s="16"/>
    </x:row>
    <x:row r="57">
      <x:c r="A57" s="16"/>
      <x:c r="B57" s="16"/>
      <x:c r="C57" s="16"/>
      <x:c r="D57" s="16"/>
      <x:c r="E57" s="16"/>
      <x:c r="F57" s="16"/>
      <x:c r="G57" s="16"/>
      <x:c r="H57" s="76"/>
      <x:c r="I57" s="16"/>
      <x:c r="J57" s="16"/>
      <x:c r="K57" s="16"/>
      <x:c r="L57" s="16"/>
      <x:c r="M57" s="16"/>
      <x:c r="N57" s="16"/>
    </x:row>
    <x:row r="58">
      <x:c r="A58" s="16"/>
      <x:c r="B58" s="16"/>
      <x:c r="C58" s="16"/>
      <x:c r="D58" s="16"/>
      <x:c r="E58" s="16"/>
      <x:c r="F58" s="16"/>
      <x:c r="G58" s="16"/>
      <x:c r="H58" s="76"/>
      <x:c r="I58" s="16"/>
      <x:c r="J58" s="16"/>
      <x:c r="K58" s="16"/>
      <x:c r="L58" s="16"/>
      <x:c r="M58" s="16"/>
      <x:c r="N58" s="16"/>
    </x:row>
    <x:row r="59">
      <x:c r="A59" s="16"/>
      <x:c r="B59" s="16"/>
      <x:c r="C59" s="16"/>
      <x:c r="D59" s="16"/>
      <x:c r="E59" s="16"/>
      <x:c r="F59" s="16"/>
      <x:c r="G59" s="16"/>
      <x:c r="H59" s="76"/>
      <x:c r="I59" s="16"/>
      <x:c r="J59" s="16"/>
      <x:c r="K59" s="16"/>
      <x:c r="L59" s="16"/>
      <x:c r="M59" s="16"/>
      <x:c r="N59" s="16"/>
    </x:row>
    <x:row r="60">
      <x:c r="A60" s="16"/>
      <x:c r="B60" s="16"/>
      <x:c r="C60" s="16"/>
      <x:c r="D60" s="16"/>
      <x:c r="E60" s="16"/>
      <x:c r="F60" s="16"/>
      <x:c r="G60" s="16"/>
      <x:c r="H60" s="76"/>
      <x:c r="I60" s="16"/>
      <x:c r="J60" s="16"/>
      <x:c r="K60" s="16"/>
      <x:c r="L60" s="16"/>
      <x:c r="M60" s="16"/>
      <x:c r="N60" s="16"/>
    </x:row>
    <x:row r="61">
      <x:c r="A61" s="16"/>
      <x:c r="B61" s="16"/>
      <x:c r="C61" s="16"/>
      <x:c r="D61" s="16"/>
      <x:c r="E61" s="16"/>
      <x:c r="F61" s="16"/>
      <x:c r="G61" s="16"/>
      <x:c r="H61" s="76"/>
      <x:c r="I61" s="16"/>
      <x:c r="J61" s="16"/>
      <x:c r="K61" s="16"/>
      <x:c r="L61" s="16"/>
      <x:c r="M61" s="16"/>
      <x:c r="N61" s="16"/>
    </x:row>
    <x:row r="62">
      <x:c r="A62" s="16"/>
      <x:c r="B62" s="16"/>
      <x:c r="C62" s="16"/>
      <x:c r="D62" s="16"/>
      <x:c r="E62" s="16"/>
      <x:c r="F62" s="16"/>
      <x:c r="G62" s="16"/>
      <x:c r="H62" s="76"/>
      <x:c r="I62" s="16"/>
      <x:c r="J62" s="16"/>
      <x:c r="K62" s="16"/>
      <x:c r="L62" s="16"/>
      <x:c r="M62" s="16"/>
      <x:c r="N62" s="16"/>
    </x:row>
    <x:row r="63">
      <x:c r="A63" s="16"/>
      <x:c r="B63" s="16"/>
      <x:c r="C63" s="16"/>
      <x:c r="D63" s="16"/>
      <x:c r="E63" s="16"/>
      <x:c r="F63" s="16"/>
      <x:c r="G63" s="16"/>
      <x:c r="H63" s="76"/>
      <x:c r="I63" s="16"/>
      <x:c r="J63" s="16"/>
      <x:c r="K63" s="16"/>
      <x:c r="L63" s="16"/>
      <x:c r="M63" s="16"/>
      <x:c r="N63" s="16"/>
    </x:row>
    <x:row r="64">
      <x:c r="A64" s="16"/>
      <x:c r="B64" s="16"/>
      <x:c r="C64" s="16"/>
      <x:c r="D64" s="16"/>
      <x:c r="E64" s="16"/>
      <x:c r="F64" s="16"/>
      <x:c r="G64" s="16"/>
      <x:c r="H64" s="76"/>
      <x:c r="I64" s="16"/>
      <x:c r="J64" s="16"/>
      <x:c r="K64" s="16"/>
      <x:c r="L64" s="16"/>
      <x:c r="M64" s="16"/>
      <x:c r="N64" s="16"/>
    </x:row>
    <x:row r="65">
      <x:c r="A65" s="16"/>
      <x:c r="B65" s="16"/>
      <x:c r="C65" s="16"/>
      <x:c r="D65" s="16"/>
      <x:c r="E65" s="16"/>
      <x:c r="F65" s="16"/>
      <x:c r="G65" s="16"/>
      <x:c r="H65" s="76"/>
      <x:c r="I65" s="16"/>
      <x:c r="J65" s="16"/>
      <x:c r="K65" s="16"/>
      <x:c r="L65" s="16"/>
      <x:c r="M65" s="16"/>
      <x:c r="N65" s="16"/>
    </x:row>
    <x:row r="66">
      <x:c r="A66" s="16"/>
      <x:c r="B66" s="16"/>
      <x:c r="C66" s="16"/>
      <x:c r="D66" s="16"/>
      <x:c r="E66" s="16"/>
      <x:c r="F66" s="16"/>
      <x:c r="G66" s="16"/>
      <x:c r="H66" s="76"/>
      <x:c r="I66" s="16"/>
      <x:c r="J66" s="16"/>
      <x:c r="K66" s="16"/>
      <x:c r="L66" s="16"/>
      <x:c r="M66" s="16"/>
      <x:c r="N66" s="16"/>
    </x:row>
    <x:row r="67">
      <x:c r="A67" s="16"/>
      <x:c r="B67" s="16"/>
      <x:c r="C67" s="16"/>
      <x:c r="D67" s="16"/>
      <x:c r="E67" s="16"/>
      <x:c r="F67" s="16"/>
      <x:c r="G67" s="16"/>
      <x:c r="H67" s="76"/>
      <x:c r="I67" s="16"/>
      <x:c r="J67" s="16"/>
      <x:c r="K67" s="16"/>
      <x:c r="L67" s="16"/>
      <x:c r="M67" s="16"/>
      <x:c r="N67" s="16"/>
    </x:row>
    <x:row r="68">
      <x:c r="A68" s="16"/>
      <x:c r="B68" s="16"/>
      <x:c r="C68" s="16"/>
      <x:c r="D68" s="16"/>
      <x:c r="E68" s="16"/>
      <x:c r="F68" s="16"/>
      <x:c r="G68" s="16"/>
      <x:c r="H68" s="76"/>
      <x:c r="I68" s="16"/>
      <x:c r="J68" s="16"/>
      <x:c r="K68" s="16"/>
      <x:c r="L68" s="16"/>
      <x:c r="M68" s="16"/>
      <x:c r="N68" s="16"/>
    </x:row>
    <x:row r="69">
      <x:c r="A69" s="16"/>
      <x:c r="B69" s="16"/>
      <x:c r="C69" s="16"/>
      <x:c r="D69" s="16"/>
      <x:c r="E69" s="16"/>
      <x:c r="F69" s="16"/>
      <x:c r="G69" s="16"/>
      <x:c r="H69" s="76"/>
      <x:c r="I69" s="16"/>
      <x:c r="J69" s="16"/>
      <x:c r="K69" s="16"/>
      <x:c r="L69" s="16"/>
      <x:c r="M69" s="16"/>
      <x:c r="N69" s="16"/>
    </x:row>
    <x:row r="70">
      <x:c r="A70" s="16"/>
      <x:c r="B70" s="16"/>
      <x:c r="C70" s="16"/>
      <x:c r="D70" s="16"/>
      <x:c r="E70" s="16"/>
      <x:c r="F70" s="16"/>
      <x:c r="G70" s="16"/>
      <x:c r="H70" s="76"/>
      <x:c r="I70" s="16"/>
      <x:c r="J70" s="16"/>
      <x:c r="K70" s="16"/>
      <x:c r="L70" s="16"/>
      <x:c r="M70" s="16"/>
      <x:c r="N70" s="16"/>
    </x:row>
    <x:row r="71">
      <x:c r="A71" s="16"/>
      <x:c r="B71" s="16"/>
      <x:c r="C71" s="16"/>
      <x:c r="D71" s="16"/>
      <x:c r="E71" s="16"/>
      <x:c r="F71" s="16"/>
      <x:c r="G71" s="16"/>
      <x:c r="H71" s="76"/>
      <x:c r="I71" s="16"/>
      <x:c r="J71" s="16"/>
      <x:c r="K71" s="16"/>
      <x:c r="L71" s="16"/>
      <x:c r="M71" s="16"/>
      <x:c r="N71" s="16"/>
    </x:row>
    <x:row r="72">
      <x:c r="A72" s="16"/>
      <x:c r="B72" s="16"/>
      <x:c r="C72" s="16"/>
      <x:c r="D72" s="16"/>
      <x:c r="E72" s="16"/>
      <x:c r="F72" s="16"/>
      <x:c r="G72" s="16"/>
      <x:c r="H72" s="76"/>
      <x:c r="I72" s="16"/>
      <x:c r="J72" s="16"/>
      <x:c r="K72" s="16"/>
      <x:c r="L72" s="16"/>
      <x:c r="M72" s="16"/>
      <x:c r="N72" s="16"/>
    </x:row>
    <x:row r="73">
      <x:c r="A73" s="16"/>
      <x:c r="B73" s="16"/>
      <x:c r="C73" s="16"/>
      <x:c r="D73" s="16"/>
      <x:c r="E73" s="16"/>
      <x:c r="F73" s="16"/>
      <x:c r="G73" s="16"/>
      <x:c r="H73" s="76"/>
      <x:c r="I73" s="16"/>
      <x:c r="J73" s="16"/>
      <x:c r="K73" s="16"/>
      <x:c r="L73" s="16"/>
      <x:c r="M73" s="16"/>
      <x:c r="N73" s="16"/>
    </x:row>
    <x:row r="74">
      <x:c r="A74" s="16"/>
      <x:c r="B74" s="16"/>
      <x:c r="C74" s="16"/>
      <x:c r="D74" s="16"/>
      <x:c r="E74" s="16"/>
      <x:c r="F74" s="16"/>
      <x:c r="G74" s="16"/>
      <x:c r="H74" s="76"/>
      <x:c r="I74" s="16"/>
      <x:c r="J74" s="16"/>
      <x:c r="K74" s="16"/>
      <x:c r="L74" s="16"/>
      <x:c r="M74" s="16"/>
      <x:c r="N74" s="16"/>
    </x:row>
    <x:row r="75">
      <x:c r="A75" s="16"/>
      <x:c r="B75" s="16"/>
      <x:c r="C75" s="16"/>
      <x:c r="D75" s="16"/>
      <x:c r="E75" s="16"/>
      <x:c r="F75" s="16"/>
      <x:c r="G75" s="16"/>
      <x:c r="H75" s="76"/>
      <x:c r="I75" s="16"/>
      <x:c r="J75" s="16"/>
      <x:c r="K75" s="16"/>
      <x:c r="L75" s="16"/>
      <x:c r="M75" s="16"/>
      <x:c r="N75" s="16"/>
    </x:row>
    <x:row r="76">
      <x:c r="A76" s="16"/>
      <x:c r="B76" s="16"/>
      <x:c r="C76" s="16"/>
      <x:c r="D76" s="16"/>
      <x:c r="E76" s="16"/>
      <x:c r="F76" s="16"/>
      <x:c r="G76" s="16"/>
      <x:c r="H76" s="76"/>
      <x:c r="I76" s="16"/>
      <x:c r="J76" s="16"/>
      <x:c r="K76" s="16"/>
      <x:c r="L76" s="16"/>
      <x:c r="M76" s="16"/>
      <x:c r="N76" s="16"/>
    </x:row>
    <x:row r="77">
      <x:c r="A77" s="16"/>
      <x:c r="B77" s="16"/>
      <x:c r="C77" s="16"/>
      <x:c r="D77" s="16"/>
      <x:c r="E77" s="16"/>
      <x:c r="F77" s="16"/>
      <x:c r="G77" s="16"/>
      <x:c r="H77" s="76"/>
      <x:c r="I77" s="16"/>
      <x:c r="J77" s="16"/>
      <x:c r="K77" s="16"/>
      <x:c r="L77" s="16"/>
      <x:c r="M77" s="16"/>
      <x:c r="N77" s="16"/>
    </x:row>
    <x:row r="78">
      <x:c r="A78" s="16"/>
      <x:c r="B78" s="16"/>
      <x:c r="C78" s="16"/>
      <x:c r="D78" s="16"/>
      <x:c r="E78" s="16"/>
      <x:c r="F78" s="16"/>
      <x:c r="G78" s="16"/>
      <x:c r="H78" s="76"/>
      <x:c r="I78" s="16"/>
      <x:c r="J78" s="16"/>
      <x:c r="K78" s="16"/>
      <x:c r="L78" s="16"/>
      <x:c r="M78" s="16"/>
      <x:c r="N78" s="16"/>
    </x:row>
    <x:row r="79">
      <x:c r="A79" s="16"/>
      <x:c r="B79" s="16"/>
      <x:c r="C79" s="16"/>
      <x:c r="D79" s="16"/>
      <x:c r="E79" s="16"/>
      <x:c r="F79" s="16"/>
      <x:c r="G79" s="16"/>
      <x:c r="H79" s="76"/>
      <x:c r="I79" s="16"/>
      <x:c r="J79" s="16"/>
      <x:c r="K79" s="16"/>
      <x:c r="L79" s="16"/>
      <x:c r="M79" s="16"/>
      <x:c r="N79" s="16"/>
    </x:row>
    <x:row r="80">
      <x:c r="A80" s="16"/>
      <x:c r="B80" s="16"/>
      <x:c r="C80" s="16"/>
      <x:c r="D80" s="16"/>
      <x:c r="E80" s="16"/>
      <x:c r="F80" s="16"/>
      <x:c r="G80" s="16"/>
      <x:c r="H80" s="76"/>
      <x:c r="I80" s="16"/>
      <x:c r="J80" s="16"/>
      <x:c r="K80" s="16"/>
      <x:c r="L80" s="16"/>
      <x:c r="M80" s="16"/>
      <x:c r="N80" s="16"/>
    </x:row>
    <x:row r="81">
      <x:c r="A81" s="16"/>
      <x:c r="B81" s="16"/>
      <x:c r="C81" s="16"/>
      <x:c r="D81" s="16"/>
      <x:c r="E81" s="16"/>
      <x:c r="F81" s="16"/>
      <x:c r="G81" s="16"/>
      <x:c r="H81" s="76"/>
      <x:c r="I81" s="16"/>
      <x:c r="J81" s="16"/>
      <x:c r="K81" s="16"/>
      <x:c r="L81" s="16"/>
      <x:c r="M81" s="16"/>
      <x:c r="N81" s="16"/>
    </x:row>
    <x:row r="82">
      <x:c r="A82" s="16"/>
      <x:c r="B82" s="16"/>
      <x:c r="C82" s="16"/>
      <x:c r="D82" s="16"/>
      <x:c r="E82" s="16"/>
      <x:c r="F82" s="16"/>
      <x:c r="G82" s="16"/>
      <x:c r="H82" s="76"/>
      <x:c r="I82" s="16"/>
      <x:c r="J82" s="16"/>
      <x:c r="K82" s="16"/>
      <x:c r="L82" s="16"/>
      <x:c r="M82" s="16"/>
      <x:c r="N82" s="16"/>
    </x:row>
    <x:row r="83">
      <x:c r="A83" s="16"/>
      <x:c r="B83" s="16"/>
      <x:c r="C83" s="16"/>
      <x:c r="D83" s="16"/>
      <x:c r="E83" s="16"/>
      <x:c r="F83" s="16"/>
      <x:c r="G83" s="16"/>
      <x:c r="H83" s="76"/>
      <x:c r="I83" s="16"/>
      <x:c r="J83" s="16"/>
      <x:c r="K83" s="16"/>
      <x:c r="L83" s="16"/>
      <x:c r="M83" s="16"/>
      <x:c r="N83" s="16"/>
    </x:row>
    <x:row r="84">
      <x:c r="A84" s="16"/>
      <x:c r="B84" s="16"/>
      <x:c r="C84" s="16"/>
      <x:c r="D84" s="16"/>
      <x:c r="E84" s="16"/>
      <x:c r="F84" s="16"/>
      <x:c r="G84" s="16"/>
      <x:c r="H84" s="76"/>
      <x:c r="I84" s="16"/>
      <x:c r="J84" s="16"/>
      <x:c r="K84" s="16"/>
      <x:c r="L84" s="16"/>
      <x:c r="M84" s="16"/>
      <x:c r="N84" s="16"/>
    </x:row>
    <x:row r="85">
      <x:c r="A85" s="16"/>
      <x:c r="B85" s="16"/>
      <x:c r="C85" s="16"/>
      <x:c r="D85" s="16"/>
      <x:c r="E85" s="16"/>
      <x:c r="F85" s="16"/>
      <x:c r="G85" s="16"/>
      <x:c r="H85" s="76"/>
      <x:c r="I85" s="16"/>
      <x:c r="J85" s="16"/>
      <x:c r="K85" s="16"/>
      <x:c r="L85" s="16"/>
      <x:c r="M85" s="16"/>
      <x:c r="N85" s="16"/>
    </x:row>
    <x:row r="86">
      <x:c r="A86" s="16"/>
      <x:c r="B86" s="16"/>
      <x:c r="C86" s="16"/>
      <x:c r="D86" s="16"/>
      <x:c r="E86" s="16"/>
      <x:c r="F86" s="16"/>
      <x:c r="G86" s="16"/>
      <x:c r="H86" s="76"/>
      <x:c r="I86" s="16"/>
      <x:c r="J86" s="16"/>
      <x:c r="K86" s="16"/>
      <x:c r="L86" s="16"/>
      <x:c r="M86" s="16"/>
      <x:c r="N86" s="16"/>
    </x:row>
    <x:row r="87">
      <x:c r="A87" s="16"/>
      <x:c r="B87" s="16"/>
      <x:c r="C87" s="16"/>
      <x:c r="D87" s="16"/>
      <x:c r="E87" s="16"/>
      <x:c r="F87" s="16"/>
      <x:c r="G87" s="16"/>
      <x:c r="H87" s="76"/>
      <x:c r="I87" s="16"/>
      <x:c r="J87" s="16"/>
      <x:c r="K87" s="16"/>
      <x:c r="L87" s="16"/>
      <x:c r="M87" s="16"/>
      <x:c r="N87" s="16"/>
    </x:row>
    <x:row r="88">
      <x:c r="A88" s="16"/>
      <x:c r="B88" s="16"/>
      <x:c r="C88" s="16"/>
      <x:c r="D88" s="16"/>
      <x:c r="E88" s="16"/>
      <x:c r="F88" s="16"/>
      <x:c r="G88" s="16"/>
      <x:c r="H88" s="76"/>
      <x:c r="I88" s="16"/>
      <x:c r="J88" s="16"/>
      <x:c r="K88" s="16"/>
      <x:c r="L88" s="16"/>
      <x:c r="M88" s="16"/>
      <x:c r="N88" s="16"/>
    </x:row>
    <x:row r="89">
      <x:c r="A89" s="16"/>
      <x:c r="B89" s="16"/>
      <x:c r="C89" s="16"/>
      <x:c r="D89" s="16"/>
      <x:c r="E89" s="16"/>
      <x:c r="F89" s="16"/>
      <x:c r="G89" s="16"/>
      <x:c r="H89" s="76"/>
      <x:c r="I89" s="16"/>
      <x:c r="J89" s="16"/>
      <x:c r="K89" s="16"/>
      <x:c r="L89" s="16"/>
      <x:c r="M89" s="16"/>
      <x:c r="N89" s="16"/>
    </x:row>
    <x:row r="90">
      <x:c r="A90" s="16"/>
      <x:c r="B90" s="16"/>
      <x:c r="C90" s="16"/>
      <x:c r="D90" s="16"/>
      <x:c r="E90" s="16"/>
      <x:c r="F90" s="16"/>
      <x:c r="G90" s="16"/>
      <x:c r="H90" s="76"/>
      <x:c r="I90" s="16"/>
      <x:c r="J90" s="16"/>
      <x:c r="K90" s="16"/>
      <x:c r="L90" s="16"/>
      <x:c r="M90" s="16"/>
      <x:c r="N90" s="16"/>
    </x:row>
    <x:row r="91">
      <x:c r="A91" s="16"/>
      <x:c r="B91" s="16"/>
      <x:c r="C91" s="16"/>
      <x:c r="D91" s="16"/>
      <x:c r="E91" s="16"/>
      <x:c r="F91" s="16"/>
      <x:c r="G91" s="16"/>
      <x:c r="H91" s="76"/>
      <x:c r="I91" s="16"/>
      <x:c r="J91" s="16"/>
      <x:c r="K91" s="16"/>
      <x:c r="L91" s="16"/>
      <x:c r="M91" s="16"/>
      <x:c r="N91" s="16"/>
    </x:row>
    <x:row r="92">
      <x:c r="A92" s="16"/>
      <x:c r="B92" s="16"/>
      <x:c r="C92" s="16"/>
      <x:c r="D92" s="16"/>
      <x:c r="E92" s="16"/>
      <x:c r="F92" s="16"/>
      <x:c r="G92" s="16"/>
      <x:c r="H92" s="76"/>
      <x:c r="I92" s="16"/>
      <x:c r="J92" s="16"/>
      <x:c r="K92" s="16"/>
      <x:c r="L92" s="16"/>
      <x:c r="M92" s="16"/>
      <x:c r="N92" s="16"/>
    </x:row>
    <x:row r="93">
      <x:c r="A93" s="16"/>
      <x:c r="B93" s="16"/>
      <x:c r="C93" s="16"/>
      <x:c r="D93" s="16"/>
      <x:c r="E93" s="16"/>
      <x:c r="F93" s="16"/>
      <x:c r="G93" s="16"/>
      <x:c r="H93" s="76"/>
      <x:c r="I93" s="16"/>
      <x:c r="J93" s="16"/>
      <x:c r="K93" s="16"/>
      <x:c r="L93" s="16"/>
      <x:c r="M93" s="16"/>
      <x:c r="N93" s="16"/>
    </x:row>
    <x:row r="94">
      <x:c r="A94" s="16"/>
      <x:c r="B94" s="16"/>
      <x:c r="C94" s="16"/>
      <x:c r="D94" s="16"/>
      <x:c r="E94" s="16"/>
      <x:c r="F94" s="16"/>
      <x:c r="G94" s="16"/>
      <x:c r="H94" s="76"/>
      <x:c r="I94" s="16"/>
      <x:c r="J94" s="16"/>
      <x:c r="K94" s="16"/>
      <x:c r="L94" s="16"/>
      <x:c r="M94" s="16"/>
      <x:c r="N94" s="16"/>
    </x:row>
    <x:row r="95">
      <x:c r="A95" s="16"/>
      <x:c r="B95" s="16"/>
      <x:c r="C95" s="16"/>
      <x:c r="D95" s="16"/>
      <x:c r="E95" s="16"/>
      <x:c r="F95" s="16"/>
      <x:c r="G95" s="16"/>
      <x:c r="H95" s="76"/>
      <x:c r="I95" s="16"/>
      <x:c r="J95" s="16"/>
      <x:c r="K95" s="16"/>
      <x:c r="L95" s="16"/>
      <x:c r="M95" s="16"/>
      <x:c r="N95" s="16"/>
    </x:row>
    <x:row r="96">
      <x:c r="A96" s="16"/>
      <x:c r="B96" s="16"/>
      <x:c r="C96" s="16"/>
      <x:c r="D96" s="16"/>
      <x:c r="E96" s="16"/>
      <x:c r="F96" s="16"/>
      <x:c r="G96" s="16"/>
      <x:c r="H96" s="76"/>
      <x:c r="I96" s="16"/>
      <x:c r="J96" s="16"/>
      <x:c r="K96" s="16"/>
      <x:c r="L96" s="16"/>
      <x:c r="M96" s="16"/>
      <x:c r="N96" s="16"/>
    </x:row>
    <x:row r="97">
      <x:c r="A97" s="16"/>
      <x:c r="B97" s="16"/>
      <x:c r="C97" s="16"/>
      <x:c r="D97" s="16"/>
      <x:c r="E97" s="16"/>
      <x:c r="F97" s="16"/>
      <x:c r="G97" s="16"/>
      <x:c r="H97" s="76"/>
      <x:c r="I97" s="16"/>
      <x:c r="J97" s="16"/>
      <x:c r="K97" s="16"/>
      <x:c r="L97" s="16"/>
      <x:c r="M97" s="16"/>
      <x:c r="N97" s="16"/>
    </x:row>
    <x:row r="98">
      <x:c r="A98" s="16"/>
      <x:c r="B98" s="16"/>
      <x:c r="C98" s="16"/>
      <x:c r="D98" s="16"/>
      <x:c r="E98" s="16"/>
      <x:c r="F98" s="16"/>
      <x:c r="G98" s="16"/>
      <x:c r="H98" s="76"/>
      <x:c r="I98" s="16"/>
      <x:c r="J98" s="16"/>
      <x:c r="K98" s="16"/>
      <x:c r="L98" s="16"/>
      <x:c r="M98" s="16"/>
      <x:c r="N98" s="16"/>
    </x:row>
    <x:row r="99">
      <x:c r="A99" s="16"/>
      <x:c r="B99" s="16"/>
      <x:c r="C99" s="16"/>
      <x:c r="D99" s="16"/>
      <x:c r="E99" s="16"/>
      <x:c r="F99" s="16"/>
      <x:c r="G99" s="16"/>
      <x:c r="H99" s="76"/>
      <x:c r="I99" s="16"/>
      <x:c r="J99" s="16"/>
      <x:c r="K99" s="16"/>
      <x:c r="L99" s="16"/>
      <x:c r="M99" s="16"/>
      <x:c r="N99" s="16"/>
    </x:row>
    <x:row r="100">
      <x:c r="A100" s="16"/>
      <x:c r="B100" s="16"/>
      <x:c r="C100" s="16"/>
      <x:c r="D100" s="16"/>
      <x:c r="E100" s="16"/>
      <x:c r="F100" s="16"/>
      <x:c r="G100" s="16"/>
      <x:c r="H100" s="76"/>
      <x:c r="I100" s="16"/>
      <x:c r="J100" s="16"/>
      <x:c r="K100" s="16"/>
      <x:c r="L100" s="16"/>
      <x:c r="M100" s="16"/>
      <x:c r="N100" s="16"/>
    </x:row>
  </x:sheetData>
  <x:conditionalFormatting sqref="H2:H10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3">
    <x:dataValidation type="list" sqref="E2:E100">
      <x:formula1>Listas!$A$2:$A$9</x:formula1>
    </x:dataValidation>
    <x:dataValidation type="list" sqref="G2:G100">
      <x:formula1>Listas!$B$2:$B$6</x:formula1>
    </x:dataValidation>
    <x:dataValidation type="list" sqref="N2:N100">
      <x:formula1>Listas!$D$2:$D$4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c5ea88203e4f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48" hidden="0" customWidth="1"/>
    <x:col min="5" max="5" width="42" hidden="0" customWidth="1"/>
    <x:col min="6" max="6" width="12" hidden="0" customWidth="1"/>
  </x:cols>
  <x:sheetData>
    <x:row r="1">
      <x:c r="A1" s="12" t="str">
        <x:v>Código</x:v>
      </x:c>
      <x:c r="B1" s="12" t="str">
        <x:v>Componente EDT</x:v>
      </x:c>
      <x:c r="C1" s="12" t="str">
        <x:v>Competencia / criterio</x:v>
      </x:c>
      <x:c r="D1" s="12" t="str">
        <x:v>Descripción evaluable</x:v>
      </x:c>
      <x:c r="E1" s="12" t="str">
        <x:v>Evidencia esperada</x:v>
      </x:c>
      <x:c r="F1" s="12" t="str">
        <x:v>Peso sugerido</x:v>
      </x:c>
    </x:row>
    <x:row r="2">
      <x:c r="A2" s="16" t="str">
        <x:v>GEN-01</x:v>
      </x:c>
      <x:c r="B2" s="16" t="str">
        <x:v>General del proyecto</x:v>
      </x:c>
      <x:c r="C2" s="16" t="str">
        <x:v>Alineación al EDT final</x:v>
      </x:c>
      <x:c r="D2" s="16" t="str">
        <x:v>Comprende qué entregables corresponden a Cloud, Adquisiciones, Software, Redes e Infraestructura y trabaja sin mezclar responsabilidades.</x:v>
      </x:c>
      <x:c r="E2" s="16" t="str">
        <x:v>Uso correcto de códigos EDT, entregables y criterios de aceptación.</x:v>
      </x:c>
      <x:c r="F2" s="16" t="n">
        <x:v>8</x:v>
      </x:c>
    </x:row>
    <x:row r="3">
      <x:c r="A3" s="16" t="str">
        <x:v>GEN-02</x:v>
      </x:c>
      <x:c r="B3" s="16" t="str">
        <x:v>General del proyecto</x:v>
      </x:c>
      <x:c r="C3" s="16" t="str">
        <x:v>Comunicación y coordinación</x:v>
      </x:c>
      <x:c r="D3" s="16" t="str">
        <x:v>Comunica avances, bloqueos y decisiones de forma clara con dirección, usuarios clave y responsables técnicos.</x:v>
      </x:c>
      <x:c r="E3" s="16" t="str">
        <x:v>Actas, reportes, acuerdos y evidencias de seguimiento.</x:v>
      </x:c>
      <x:c r="F3" s="16" t="n">
        <x:v>8</x:v>
      </x:c>
    </x:row>
    <x:row r="4">
      <x:c r="A4" s="16" t="str">
        <x:v>GEN-03</x:v>
      </x:c>
      <x:c r="B4" s="16" t="str">
        <x:v>General del proyecto</x:v>
      </x:c>
      <x:c r="C4" s="16" t="str">
        <x:v>Cumplimiento de hitos</x:v>
      </x:c>
      <x:c r="D4" s="16" t="str">
        <x:v>Cumple fechas comprometidas y alerta desviaciones antes de que afecten el cronograma.</x:v>
      </x:c>
      <x:c r="E4" s="16" t="str">
        <x:v>Hitos cerrados, desviaciones justificadas y acciones correctivas.</x:v>
      </x:c>
      <x:c r="F4" s="16" t="n">
        <x:v>8</x:v>
      </x:c>
    </x:row>
    <x:row r="5">
      <x:c r="A5" s="16" t="str">
        <x:v>GEN-04</x:v>
      </x:c>
      <x:c r="B5" s="16" t="str">
        <x:v>General del proyecto</x:v>
      </x:c>
      <x:c r="C5" s="16" t="str">
        <x:v>Calidad documental</x:v>
      </x:c>
      <x:c r="D5" s="16" t="str">
        <x:v>Entrega documentos, manuales, evidencias y actas de aceptación con claridad y trazabilidad.</x:v>
      </x:c>
      <x:c r="E5" s="16" t="str">
        <x:v>Documentación completa, firmada o validada.</x:v>
      </x:c>
      <x:c r="F5" s="16" t="n">
        <x:v>8</x:v>
      </x:c>
    </x:row>
    <x:row r="6">
      <x:c r="A6" s="16" t="str">
        <x:v>GEN-05</x:v>
      </x:c>
      <x:c r="B6" s="16" t="str">
        <x:v>General del proyecto</x:v>
      </x:c>
      <x:c r="C6" s="16" t="str">
        <x:v>Gestión de riesgos e incidencias</x:v>
      </x:c>
      <x:c r="D6" s="16" t="str">
        <x:v>Identifica riesgos, propone mitigaciones y escala problemas críticos oportunamente.</x:v>
      </x:c>
      <x:c r="E6" s="16" t="str">
        <x:v>Registro de riesgos, incidentes cerrados y plan de respuesta.</x:v>
      </x:c>
      <x:c r="F6" s="16" t="n">
        <x:v>8</x:v>
      </x:c>
    </x:row>
    <x:row r="7">
      <x:c r="A7" s="16" t="str">
        <x:v>CLD-01</x:v>
      </x:c>
      <x:c r="B7" s="16" t="str">
        <x:v>Cloud</x:v>
      </x:c>
      <x:c r="C7" s="16" t="str">
        <x:v>Contratación de asesoría cloud</x:v>
      </x:c>
      <x:c r="D7" s="16" t="str">
        <x:v>Gestiona la asesoría cloud con alcance, expectativas y entregables definidos.</x:v>
      </x:c>
      <x:c r="E7" s="16" t="str">
        <x:v>Contrato, propuesta técnica, alcance de asesoría y acta de inicio.</x:v>
      </x:c>
      <x:c r="F7" s="16" t="n">
        <x:v>5</x:v>
      </x:c>
    </x:row>
    <x:row r="8">
      <x:c r="A8" s="16" t="str">
        <x:v>CLD-02</x:v>
      </x:c>
      <x:c r="B8" s="16" t="str">
        <x:v>Cloud</x:v>
      </x:c>
      <x:c r="C8" s="16" t="str">
        <x:v>Contratación de servicios cloud</x:v>
      </x:c>
      <x:c r="D8" s="16" t="str">
        <x:v>Selecciona y habilita servicios cloud según necesidades del proyecto y viabilidad económica.</x:v>
      </x:c>
      <x:c r="E8" s="16" t="str">
        <x:v>Contrato/alta de servicios, SLA, matriz de costos y responsable operativo.</x:v>
      </x:c>
      <x:c r="F8" s="16" t="n">
        <x:v>5</x:v>
      </x:c>
    </x:row>
    <x:row r="9">
      <x:c r="A9" s="16" t="str">
        <x:v>CLD-03</x:v>
      </x:c>
      <x:c r="B9" s="16" t="str">
        <x:v>Cloud</x:v>
      </x:c>
      <x:c r="C9" s="16" t="str">
        <x:v>Respaldo y continuidad</x:v>
      </x:c>
      <x:c r="D9" s="16" t="str">
        <x:v>Define y valida plan de respaldo, recuperación y continuidad operativa.</x:v>
      </x:c>
      <x:c r="E9" s="16" t="str">
        <x:v>Plan de backup, prueba de restauración y RPO/RTO definidos.</x:v>
      </x:c>
      <x:c r="F9" s="16" t="n">
        <x:v>5</x:v>
      </x:c>
    </x:row>
    <x:row r="10">
      <x:c r="A10" s="16" t="str">
        <x:v>CLD-04</x:v>
      </x:c>
      <x:c r="B10" s="16" t="str">
        <x:v>Cloud</x:v>
      </x:c>
      <x:c r="C10" s="16" t="str">
        <x:v>Ambientes Dev/Test/Pre/Prod</x:v>
      </x:c>
      <x:c r="D10" s="16" t="str">
        <x:v>Configura ambientes separados y controlados para desarrollo, pruebas, preproducción y producción.</x:v>
      </x:c>
      <x:c r="E10" s="16" t="str">
        <x:v>Ambientes creados, accesos controlados y documentación técnica.</x:v>
      </x:c>
      <x:c r="F10" s="16" t="n">
        <x:v>5</x:v>
      </x:c>
    </x:row>
    <x:row r="11">
      <x:c r="A11" s="16" t="str">
        <x:v>CLD-05</x:v>
      </x:c>
      <x:c r="B11" s="16" t="str">
        <x:v>Cloud</x:v>
      </x:c>
      <x:c r="C11" s="16" t="str">
        <x:v>Servicios cloud base</x:v>
      </x:c>
      <x:c r="D11" s="16" t="str">
        <x:v>Configura base de datos administrada, almacenamiento de documentos/respaldos y red cloud privada.</x:v>
      </x:c>
      <x:c r="E11" s="16" t="str">
        <x:v>Servicios operativos, pruebas de conexión y evidencia de configuración.</x:v>
      </x:c>
      <x:c r="F11" s="16" t="n">
        <x:v>5</x:v>
      </x:c>
    </x:row>
    <x:row r="12">
      <x:c r="A12" s="16" t="str">
        <x:v>CLD-06</x:v>
      </x:c>
      <x:c r="B12" s="16" t="str">
        <x:v>Cloud</x:v>
      </x:c>
      <x:c r="C12" s="16" t="str">
        <x:v>Seguridad y operación cloud</x:v>
      </x:c>
      <x:c r="D12" s="16" t="str">
        <x:v>Gestiona usuarios, roles, monitoreo, logs, alertas y línea base mensual de costos.</x:v>
      </x:c>
      <x:c r="E12" s="16" t="str">
        <x:v>IAM configurado, alertas activas, dashboard de costos y logs auditables.</x:v>
      </x:c>
      <x:c r="F12" s="16" t="n">
        <x:v>5</x:v>
      </x:c>
    </x:row>
    <x:row r="13">
      <x:c r="A13" s="16" t="str">
        <x:v>ADQ-01</x:v>
      </x:c>
      <x:c r="B13" s="16" t="str">
        <x:v>Adquisiciones</x:v>
      </x:c>
      <x:c r="C13" s="16" t="str">
        <x:v>Cotización de proveedores</x:v>
      </x:c>
      <x:c r="D13" s="16" t="str">
        <x:v>Solicita cotizaciones comparables y completas para materiales, equipos y servicios.</x:v>
      </x:c>
      <x:c r="E13" s="16" t="str">
        <x:v>Matriz de cotizaciones con precio, plazo, garantía y condiciones.</x:v>
      </x:c>
      <x:c r="F13" s="16" t="n">
        <x:v>4</x:v>
      </x:c>
    </x:row>
    <x:row r="14">
      <x:c r="A14" s="16" t="str">
        <x:v>ADQ-02</x:v>
      </x:c>
      <x:c r="B14" s="16" t="str">
        <x:v>Adquisiciones</x:v>
      </x:c>
      <x:c r="C14" s="16" t="str">
        <x:v>Selección económico-técnica</x:v>
      </x:c>
      <x:c r="D14" s="16" t="str">
        <x:v>Evalúa proveedores económicamente factibles sin perder criterios técnicos mínimos.</x:v>
      </x:c>
      <x:c r="E14" s="16" t="str">
        <x:v>Matriz de evaluación, recomendación y aprobación.</x:v>
      </x:c>
      <x:c r="F14" s="16" t="n">
        <x:v>4</x:v>
      </x:c>
    </x:row>
    <x:row r="15">
      <x:c r="A15" s="16" t="str">
        <x:v>ADQ-03</x:v>
      </x:c>
      <x:c r="B15" s="16" t="str">
        <x:v>Adquisiciones</x:v>
      </x:c>
      <x:c r="C15" s="16" t="str">
        <x:v>Adquisición y recepción</x:v>
      </x:c>
      <x:c r="D15" s="16" t="str">
        <x:v>Gestiona compra, recepción y conformidad de materiales/equipos/servicios.</x:v>
      </x:c>
      <x:c r="E15" s="16" t="str">
        <x:v>Órdenes de compra, actas de recepción y control de entrega.</x:v>
      </x:c>
      <x:c r="F15" s="16" t="n">
        <x:v>4</x:v>
      </x:c>
    </x:row>
    <x:row r="16">
      <x:c r="A16" s="16" t="str">
        <x:v>ADQ-04</x:v>
      </x:c>
      <x:c r="B16" s="16" t="str">
        <x:v>Adquisiciones</x:v>
      </x:c>
      <x:c r="C16" s="16" t="str">
        <x:v>Control documental y contractual</x:v>
      </x:c>
      <x:c r="D16" s="16" t="str">
        <x:v>Mantiene trazabilidad de contratos, garantías, facturas, SLA y compromisos de proveedor.</x:v>
      </x:c>
      <x:c r="E16" s="16" t="str">
        <x:v>Expediente de adquisición completo y actualizado.</x:v>
      </x:c>
      <x:c r="F16" s="16" t="n">
        <x:v>4</x:v>
      </x:c>
    </x:row>
    <x:row r="17">
      <x:c r="A17" s="16" t="str">
        <x:v>SOF-01</x:v>
      </x:c>
      <x:c r="B17" s="16" t="str">
        <x:v>Software</x:v>
      </x:c>
      <x:c r="C17" s="16" t="str">
        <x:v>Diseño funcional y técnico</x:v>
      </x:c>
      <x:c r="D17" s="16" t="str">
        <x:v>Produce prototipos, modelo de datos y diseño de integraciones alineados al negocio.</x:v>
      </x:c>
      <x:c r="E17" s="16" t="str">
        <x:v>Prototipos aprobados, modelo de datos y diseño técnico.</x:v>
      </x:c>
      <x:c r="F17" s="16" t="n">
        <x:v>6</x:v>
      </x:c>
    </x:row>
    <x:row r="18">
      <x:c r="A18" s="16" t="str">
        <x:v>SOF-02</x:v>
      </x:c>
      <x:c r="B18" s="16" t="str">
        <x:v>Software</x:v>
      </x:c>
      <x:c r="C18" s="16" t="str">
        <x:v>Módulos de operación</x:v>
      </x:c>
      <x:c r="D18" s="16" t="str">
        <x:v>Implementa POS/cajas, inventario por sucursal/lote/vencimiento y compras/proveedores.</x:v>
      </x:c>
      <x:c r="E18" s="16" t="str">
        <x:v>Módulos operativos, pruebas funcionales y UAT por área.</x:v>
      </x:c>
      <x:c r="F18" s="16" t="n">
        <x:v>6</x:v>
      </x:c>
    </x:row>
    <x:row r="19">
      <x:c r="A19" s="16" t="str">
        <x:v>SOF-03</x:v>
      </x:c>
      <x:c r="B19" s="16" t="str">
        <x:v>Software</x:v>
      </x:c>
      <x:c r="C19" s="16" t="str">
        <x:v>Módulos de gestión</x:v>
      </x:c>
      <x:c r="D19" s="16" t="str">
        <x:v>Implementa contabilidad web, logística/traspasos y BI/reportes gerenciales.</x:v>
      </x:c>
      <x:c r="E19" s="16" t="str">
        <x:v>Reportes, pruebas de integración y validación gerencial.</x:v>
      </x:c>
      <x:c r="F19" s="16" t="n">
        <x:v>6</x:v>
      </x:c>
    </x:row>
    <x:row r="20">
      <x:c r="A20" s="16" t="str">
        <x:v>SOF-04</x:v>
      </x:c>
      <x:c r="B20" s="16" t="str">
        <x:v>Software</x:v>
      </x:c>
      <x:c r="C20" s="16" t="str">
        <x:v>Migración de datos</x:v>
      </x:c>
      <x:c r="D20" s="16" t="str">
        <x:v>Migra y depura productos, proveedores, usuarios, roles y sucursales.</x:v>
      </x:c>
      <x:c r="E20" s="16" t="str">
        <x:v>Datos cargados, conciliados y aprobados por áreas responsables.</x:v>
      </x:c>
      <x:c r="F20" s="16" t="n">
        <x:v>6</x:v>
      </x:c>
    </x:row>
    <x:row r="21">
      <x:c r="A21" s="16" t="str">
        <x:v>SOF-05</x:v>
      </x:c>
      <x:c r="B21" s="16" t="str">
        <x:v>Software</x:v>
      </x:c>
      <x:c r="C21" s="16" t="str">
        <x:v>Documentación, pruebas y capacitación</x:v>
      </x:c>
      <x:c r="D21" s="16" t="str">
        <x:v>Entrega documentación técnica, pruebas internas, UAT, manuales por rol y actas de aceptación.</x:v>
      </x:c>
      <x:c r="E21" s="16" t="str">
        <x:v>Manuales, matriz de pruebas, UAT firmado y acta de aceptación.</x:v>
      </x:c>
      <x:c r="F21" s="16" t="n">
        <x:v>6</x:v>
      </x:c>
    </x:row>
    <x:row r="22">
      <x:c r="A22" s="16" t="str">
        <x:v>RED-01</x:v>
      </x:c>
      <x:c r="B22" s="16" t="str">
        <x:v>Redes</x:v>
      </x:c>
      <x:c r="C22" s="16" t="str">
        <x:v>Contratación y conectividad</x:v>
      </x:c>
      <x:c r="D22" s="16" t="str">
        <x:v>Coordina experto en redes, servicios de conectividad y personal operativo.</x:v>
      </x:c>
      <x:c r="E22" s="16" t="str">
        <x:v>Contratos, responsables, cronograma y SLA.</x:v>
      </x:c>
      <x:c r="F22" s="16" t="n">
        <x:v>5</x:v>
      </x:c>
    </x:row>
    <x:row r="23">
      <x:c r="A23" s="16" t="str">
        <x:v>RED-02</x:v>
      </x:c>
      <x:c r="B23" s="16" t="str">
        <x:v>Redes</x:v>
      </x:c>
      <x:c r="C23" s="16" t="str">
        <x:v>Preparación e instalación de red</x:v>
      </x:c>
      <x:c r="D23" s="16" t="str">
        <x:v>Prepara terreno e instala switches, router, AP y cableado estructurado.</x:v>
      </x:c>
      <x:c r="E23" s="16" t="str">
        <x:v>Equipos instalados, puntos certificados y evidencias físicas.</x:v>
      </x:c>
      <x:c r="F23" s="16" t="n">
        <x:v>5</x:v>
      </x:c>
    </x:row>
    <x:row r="24">
      <x:c r="A24" s="16" t="str">
        <x:v>RED-03</x:v>
      </x:c>
      <x:c r="B24" s="16" t="str">
        <x:v>Redes</x:v>
      </x:c>
      <x:c r="C24" s="16" t="str">
        <x:v>VPN sucursal-cloud</x:v>
      </x:c>
      <x:c r="D24" s="16" t="str">
        <x:v>Configura VPN segura entre sucursal y cloud.</x:v>
      </x:c>
      <x:c r="E24" s="16" t="str">
        <x:v>VPN operativa, pruebas de conexión y documentación.</x:v>
      </x:c>
      <x:c r="F24" s="16" t="n">
        <x:v>5</x:v>
      </x:c>
    </x:row>
    <x:row r="25">
      <x:c r="A25" s="16" t="str">
        <x:v>RED-04</x:v>
      </x:c>
      <x:c r="B25" s="16" t="str">
        <x:v>Redes</x:v>
      </x:c>
      <x:c r="C25" s="16" t="str">
        <x:v>Seguridad de red</x:v>
      </x:c>
      <x:c r="D25" s="16" t="str">
        <x:v>Configura firewalls, VLAN para cajas/admin/invitados y acceso seguro de soporte.</x:v>
      </x:c>
      <x:c r="E25" s="16" t="str">
        <x:v>Reglas firewall, VLAN validadas y acceso seguro probado.</x:v>
      </x:c>
      <x:c r="F25" s="16" t="n">
        <x:v>5</x:v>
      </x:c>
    </x:row>
    <x:row r="26">
      <x:c r="A26" s="16" t="str">
        <x:v>RED-05</x:v>
      </x:c>
      <x:c r="B26" s="16" t="str">
        <x:v>Redes</x:v>
      </x:c>
      <x:c r="C26" s="16" t="str">
        <x:v>Pruebas y documentación as-built</x:v>
      </x:c>
      <x:c r="D26" s="16" t="str">
        <x:v>Documenta latencia, velocidad, failover y plano final as-built.</x:v>
      </x:c>
      <x:c r="E26" s="16" t="str">
        <x:v>Informe de pruebas y documentación as-built aprobada.</x:v>
      </x:c>
      <x:c r="F26" s="16" t="n">
        <x:v>5</x:v>
      </x:c>
    </x:row>
    <x:row r="27">
      <x:c r="A27" s="16" t="str">
        <x:v>INF-01</x:v>
      </x:c>
      <x:c r="B27" s="16" t="str">
        <x:v>Infraestructura</x:v>
      </x:c>
      <x:c r="C27" s="16" t="str">
        <x:v>Expertos y preparación del terreno</x:v>
      </x:c>
      <x:c r="D27" s="16" t="str">
        <x:v>Contrata experto, personal necesario y prepara el terreno físico.</x:v>
      </x:c>
      <x:c r="E27" s="16" t="str">
        <x:v>Contrato, plan de trabajo y área preparada.</x:v>
      </x:c>
      <x:c r="F27" s="16" t="n">
        <x:v>5</x:v>
      </x:c>
    </x:row>
    <x:row r="28">
      <x:c r="A28" s="16" t="str">
        <x:v>INF-02</x:v>
      </x:c>
      <x:c r="B28" s="16" t="str">
        <x:v>Infraestructura</x:v>
      </x:c>
      <x:c r="C28" s="16" t="str">
        <x:v>Racks, gabinetes y UPS</x:v>
      </x:c>
      <x:c r="D28" s="16" t="str">
        <x:v>Instala racks, gabinetes, UPS y protección eléctrica.</x:v>
      </x:c>
      <x:c r="E28" s="16" t="str">
        <x:v>Equipos instalados, pruebas eléctricas y acta de conformidad.</x:v>
      </x:c>
      <x:c r="F28" s="16" t="n">
        <x:v>5</x:v>
      </x:c>
    </x:row>
    <x:row r="29">
      <x:c r="A29" s="16" t="str">
        <x:v>INF-03</x:v>
      </x:c>
      <x:c r="B29" s="16" t="str">
        <x:v>Infraestructura</x:v>
      </x:c>
      <x:c r="C29" s="16" t="str">
        <x:v>Etiquetado y ordenamiento</x:v>
      </x:c>
      <x:c r="D29" s="16" t="str">
        <x:v>Ordena cableado, activos y puntos físicos de TI.</x:v>
      </x:c>
      <x:c r="E29" s="16" t="str">
        <x:v>Etiquetas, inventario y fotografías de conformidad.</x:v>
      </x:c>
      <x:c r="F29" s="16" t="n">
        <x:v>5</x:v>
      </x:c>
    </x:row>
    <x:row r="30">
      <x:c r="A30" s="16" t="str">
        <x:v>INF-04</x:v>
      </x:c>
      <x:c r="B30" s="16" t="str">
        <x:v>Infraestructura</x:v>
      </x:c>
      <x:c r="C30" s="16" t="str">
        <x:v>Equipamiento de tienda</x:v>
      </x:c>
      <x:c r="D30" s="16" t="str">
        <x:v>Instala terminales POS, lectores, impresoras, balanzas y equipos de almacén/oficina.</x:v>
      </x:c>
      <x:c r="E30" s="16" t="str">
        <x:v>Equipos operativos, inventario de activos y pruebas de uso.</x:v>
      </x:c>
      <x:c r="F30" s="16" t="n">
        <x:v>5</x:v>
      </x:c>
    </x:row>
    <x:row r="31">
      <x:c r="A31" s="16" t="str">
        <x:v>INF-05</x:v>
      </x:c>
      <x:c r="B31" s="16" t="str">
        <x:v>Infraestructura</x:v>
      </x:c>
      <x:c r="C31" s="16" t="str">
        <x:v>Respaldo local y continuidad</x:v>
      </x:c>
      <x:c r="D31" s="16" t="str">
        <x:v>Instala equipo edge/local y repositorio de respaldo.</x:v>
      </x:c>
      <x:c r="E31" s="16" t="str">
        <x:v>Equipo operativo, repositorio configurado y prueba de recuperación.</x:v>
      </x:c>
      <x:c r="F31" s="16" t="n">
        <x:v>5</x:v>
      </x:c>
    </x:row>
    <x:row r="32">
      <x:c r="A32" s="16" t="str">
        <x:v>INF-06</x:v>
      </x:c>
      <x:c r="B32" s="16" t="str">
        <x:v>Infraestructura</x:v>
      </x:c>
      <x:c r="C32" s="16" t="str">
        <x:v>Seguridad física de TI</x:v>
      </x:c>
      <x:c r="D32" s="16" t="str">
        <x:v>Instala señalética, controles de acceso a áreas críticas y herramientas varias.</x:v>
      </x:c>
      <x:c r="E32" s="16" t="str">
        <x:v>Controles instalados, señalética visible y acta de validación.</x:v>
      </x:c>
      <x:c r="F32" s="16" t="n">
        <x:v>5</x:v>
      </x:c>
    </x:row>
    <x:row r="33">
      <x:c r="A33" s="16" t="str">
        <x:v>INF-07</x:v>
      </x:c>
      <x:c r="B33" s="16" t="str">
        <x:v>Infraestructura</x:v>
      </x:c>
      <x:c r="C33" s="16" t="str">
        <x:v>Mantenimiento y mesa de ayuda</x:v>
      </x:c>
      <x:c r="D33" s="16" t="str">
        <x:v>Entrega plan de mantenimiento, mesa de ayuda y escalamiento.</x:v>
      </x:c>
      <x:c r="E33" s="16" t="str">
        <x:v>Plan aprobado, matriz de escalamiento y manual de soporte.</x:v>
      </x:c>
      <x:c r="F33" s="16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216cf4fa26b64f0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26" hidden="0" customWidth="1"/>
  </x:cols>
  <x:sheetData>
    <x:row r="1" ht="30" customHeight="1">
      <x:c r="A1" s="84" t="str">
        <x:v>Resumen de Evaluación 360° - SIGSUP / HIPERMAXI</x:v>
      </x:c>
      <x:c r="B1" s="84"/>
      <x:c r="C1" s="84"/>
      <x:c r="D1" s="84"/>
      <x:c r="E1" s="84"/>
      <x:c r="F1" s="84"/>
      <x:c r="G1" s="84"/>
      <x:c r="H1" s="84"/>
    </x:row>
    <x:row r="3">
      <x:c r="A3" s="56" t="str">
        <x:v>Indicador</x:v>
      </x:c>
      <x:c r="B3" s="56" t="str">
        <x:v>Valor</x:v>
      </x:c>
      <x:c r="C3" s="56" t="str">
        <x:v>Interpretación</x:v>
      </x:c>
    </x:row>
    <x:row r="4">
      <x:c r="A4" s="16" t="str">
        <x:v>Evaluaciones registradas</x:v>
      </x:c>
      <x:c r="B4" s="16" t="n">
        <x:f>COUNTA('Matriz 360'!A2:A100)</x:f>
        <x:v>3</x:v>
      </x:c>
      <x:c r="C4" s="16" t="str">
        <x:v>Cantidad de evaluaciones cargadas en la matriz.</x:v>
      </x:c>
    </x:row>
    <x:row r="5">
      <x:c r="A5" s="16" t="str">
        <x:v>Promedio global</x:v>
      </x:c>
      <x:c r="B5" s="76" t="str">
        <x:f>IFERROR(AVERAGE('Matriz 360'!H2:H100),"")</x:f>
      </x:c>
      <x:c r="C5" s="16" t="str">
        <x:v>Promedio general de desempeño.</x:v>
      </x:c>
    </x:row>
    <x:row r="6">
      <x:c r="A6" s="16" t="str">
        <x:v>Evaluaciones pendientes</x:v>
      </x:c>
      <x:c r="B6" s="16" t="n">
        <x:f>COUNTIF('Matriz 360'!N2:N100,"Pendiente")</x:f>
        <x:v>3</x:v>
      </x:c>
      <x:c r="C6" s="16" t="str">
        <x:v>Pendientes de cierre o revisión.</x:v>
      </x:c>
    </x:row>
    <x:row r="7">
      <x:c r="A7" s="16" t="str">
        <x:v>Evaluaciones completadas</x:v>
      </x:c>
      <x:c r="B7" s="16" t="n">
        <x:f>COUNTIF('Matriz 360'!N2:N100,"Completada")</x:f>
        <x:v>0</x:v>
      </x:c>
      <x:c r="C7" s="16" t="str">
        <x:v>Evaluaciones formalmente cerradas.</x:v>
      </x:c>
    </x:row>
    <x:row r="10">
      <x:c r="A10" s="56" t="str">
        <x:v>Componente EDT</x:v>
      </x:c>
      <x:c r="B10" s="56" t="str">
        <x:v>Evaluaciones</x:v>
      </x:c>
      <x:c r="C10" s="56" t="str">
        <x:v>Promedio</x:v>
      </x:c>
      <x:c r="D10" s="56" t="str">
        <x:v>Pendientes</x:v>
      </x:c>
      <x:c r="E10" s="56" t="str">
        <x:v>Observación</x:v>
      </x:c>
    </x:row>
    <x:row r="11">
      <x:c r="A11" s="16" t="str">
        <x:v>Dirección del proyecto</x:v>
      </x:c>
      <x:c r="B11" s="16" t="n">
        <x:f>COUNTIF('Matriz 360'!E:E,A11)</x:f>
        <x:v>0</x:v>
      </x:c>
      <x:c r="C11" s="76" t="str">
        <x:f>IFERROR(AVERAGEIF('Matriz 360'!E:E,A11,'Matriz 360'!H:H),"")</x:f>
      </x:c>
      <x:c r="D11" s="16" t="n">
        <x:f>COUNTIFS('Matriz 360'!E:E,A11,'Matriz 360'!N:N,"Pendiente")</x:f>
        <x:v>0</x:v>
      </x:c>
      <x:c r="E11" s="16" t="str">
        <x:f>IF(C11="","Sin datos",IF(C11&gt;=4.5,"Excelente",IF(C11&gt;=3.7,"Muy bueno",IF(C11&gt;=3,"Bueno","Requiere mejora"))))</x:f>
        <x:v>Sin datos</x:v>
      </x:c>
    </x:row>
    <x:row r="12">
      <x:c r="A12" s="16" t="str">
        <x:v>Cloud</x:v>
      </x:c>
      <x:c r="B12" s="16" t="n">
        <x:f>COUNTIF('Matriz 360'!E:E,A12)</x:f>
        <x:v>1</x:v>
      </x:c>
      <x:c r="C12" s="76" t="str">
        <x:f>IFERROR(AVERAGEIF('Matriz 360'!E:E,A12,'Matriz 360'!H:H),"")</x:f>
      </x:c>
      <x:c r="D12" s="16" t="n">
        <x:f>COUNTIFS('Matriz 360'!E:E,A12,'Matriz 360'!N:N,"Pendiente")</x:f>
        <x:v>1</x:v>
      </x:c>
      <x:c r="E12" s="16" t="str">
        <x:f>IF(C12="","Sin datos",IF(C12&gt;=4.5,"Excelente",IF(C12&gt;=3.7,"Muy bueno",IF(C12&gt;=3,"Bueno","Requiere mejora"))))</x:f>
        <x:v>Sin datos</x:v>
      </x:c>
    </x:row>
    <x:row r="13">
      <x:c r="A13" s="16" t="str">
        <x:v>Adquisiciones</x:v>
      </x:c>
      <x:c r="B13" s="16" t="n">
        <x:f>COUNTIF('Matriz 360'!E:E,A13)</x:f>
        <x:v>0</x:v>
      </x:c>
      <x:c r="C13" s="76" t="str">
        <x:f>IFERROR(AVERAGEIF('Matriz 360'!E:E,A13,'Matriz 360'!H:H),"")</x:f>
      </x:c>
      <x:c r="D13" s="16" t="n">
        <x:f>COUNTIFS('Matriz 360'!E:E,A13,'Matriz 360'!N:N,"Pendiente")</x:f>
        <x:v>0</x:v>
      </x:c>
      <x:c r="E13" s="16" t="str">
        <x:f>IF(C13="","Sin datos",IF(C13&gt;=4.5,"Excelente",IF(C13&gt;=3.7,"Muy bueno",IF(C13&gt;=3,"Bueno","Requiere mejora"))))</x:f>
        <x:v>Sin datos</x:v>
      </x:c>
    </x:row>
    <x:row r="14">
      <x:c r="A14" s="16" t="str">
        <x:v>Software</x:v>
      </x:c>
      <x:c r="B14" s="16" t="n">
        <x:f>COUNTIF('Matriz 360'!E:E,A14)</x:f>
        <x:v>1</x:v>
      </x:c>
      <x:c r="C14" s="76" t="str">
        <x:f>IFERROR(AVERAGEIF('Matriz 360'!E:E,A14,'Matriz 360'!H:H),"")</x:f>
      </x:c>
      <x:c r="D14" s="16" t="n">
        <x:f>COUNTIFS('Matriz 360'!E:E,A14,'Matriz 360'!N:N,"Pendiente")</x:f>
        <x:v>1</x:v>
      </x:c>
      <x:c r="E14" s="16" t="str">
        <x:f>IF(C14="","Sin datos",IF(C14&gt;=4.5,"Excelente",IF(C14&gt;=3.7,"Muy bueno",IF(C14&gt;=3,"Bueno","Requiere mejora"))))</x:f>
        <x:v>Sin datos</x:v>
      </x:c>
    </x:row>
    <x:row r="15">
      <x:c r="A15" s="16" t="str">
        <x:v>Redes</x:v>
      </x:c>
      <x:c r="B15" s="16" t="n">
        <x:f>COUNTIF('Matriz 360'!E:E,A15)</x:f>
        <x:v>1</x:v>
      </x:c>
      <x:c r="C15" s="76" t="str">
        <x:f>IFERROR(AVERAGEIF('Matriz 360'!E:E,A15,'Matriz 360'!H:H),"")</x:f>
      </x:c>
      <x:c r="D15" s="16" t="n">
        <x:f>COUNTIFS('Matriz 360'!E:E,A15,'Matriz 360'!N:N,"Pendiente")</x:f>
        <x:v>1</x:v>
      </x:c>
      <x:c r="E15" s="16" t="str">
        <x:f>IF(C15="","Sin datos",IF(C15&gt;=4.5,"Excelente",IF(C15&gt;=3.7,"Muy bueno",IF(C15&gt;=3,"Bueno","Requiere mejora"))))</x:f>
        <x:v>Sin datos</x:v>
      </x:c>
    </x:row>
    <x:row r="16">
      <x:c r="A16" s="16" t="str">
        <x:v>Infraestructura</x:v>
      </x:c>
      <x:c r="B16" s="16" t="n">
        <x:f>COUNTIF('Matriz 360'!E:E,A16)</x:f>
        <x:v>0</x:v>
      </x:c>
      <x:c r="C16" s="76" t="str">
        <x:f>IFERROR(AVERAGEIF('Matriz 360'!E:E,A16,'Matriz 360'!H:H),"")</x:f>
      </x:c>
      <x:c r="D16" s="16" t="n">
        <x:f>COUNTIFS('Matriz 360'!E:E,A16,'Matriz 360'!N:N,"Pendiente")</x:f>
        <x:v>0</x:v>
      </x:c>
      <x:c r="E16" s="16" t="str">
        <x:f>IF(C16="","Sin datos",IF(C16&gt;=4.5,"Excelente",IF(C16&gt;=3.7,"Muy bueno",IF(C16&gt;=3,"Bueno","Requiere mejora"))))</x:f>
        <x:v>Sin datos</x:v>
      </x:c>
    </x:row>
    <x:row r="17">
      <x:c r="A17" s="16" t="str">
        <x:v>QA / Calidad</x:v>
      </x:c>
      <x:c r="B17" s="16" t="n">
        <x:f>COUNTIF('Matriz 360'!E:E,A17)</x:f>
        <x:v>0</x:v>
      </x:c>
      <x:c r="C17" s="76" t="str">
        <x:f>IFERROR(AVERAGEIF('Matriz 360'!E:E,A17,'Matriz 360'!H:H),"")</x:f>
      </x:c>
      <x:c r="D17" s="16" t="n">
        <x:f>COUNTIFS('Matriz 360'!E:E,A17,'Matriz 360'!N:N,"Pendiente")</x:f>
        <x:v>0</x:v>
      </x:c>
      <x:c r="E17" s="16" t="str">
        <x:f>IF(C17="","Sin datos",IF(C17&gt;=4.5,"Excelente",IF(C17&gt;=3.7,"Muy bueno",IF(C17&gt;=3,"Bueno","Requiere mejora"))))</x:f>
        <x:v>Sin datos</x:v>
      </x:c>
    </x:row>
    <x:row r="18">
      <x:c r="A18" s="16" t="str">
        <x:v>Capacitación y documentación</x:v>
      </x:c>
      <x:c r="B18" s="16" t="n">
        <x:f>COUNTIF('Matriz 360'!E:E,A18)</x:f>
        <x:v>0</x:v>
      </x:c>
      <x:c r="C18" s="76" t="str">
        <x:f>IFERROR(AVERAGEIF('Matriz 360'!E:E,A18,'Matriz 360'!H:H),"")</x:f>
      </x:c>
      <x:c r="D18" s="16" t="n">
        <x:f>COUNTIFS('Matriz 360'!E:E,A18,'Matriz 360'!N:N,"Pendiente")</x:f>
        <x:v>0</x:v>
      </x:c>
      <x:c r="E18" s="16" t="str">
        <x:f>IF(C18="","Sin datos",IF(C18&gt;=4.5,"Excelente",IF(C18&gt;=3.7,"Muy bueno",IF(C18&gt;=3,"Bueno","Requiere mejora"))))</x:f>
        <x:v>Sin datos</x:v>
      </x:c>
    </x:row>
  </x:sheetData>
  <x:mergeCells>
    <x:mergeCell ref="A1:H1"/>
  </x:mergeCells>
  <x:conditionalFormatting sqref="C11:C1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aee755ce10a8480c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4" hidden="0" customWidth="1"/>
    <x:col min="4" max="4" width="14" hidden="0" customWidth="1"/>
  </x:cols>
  <x:sheetData>
    <x:row r="1">
      <x:c r="A1" s="12" t="str">
        <x:v>Componentes EDT</x:v>
      </x:c>
      <x:c r="B1" s="12" t="str">
        <x:v>Relación evaluador</x:v>
      </x:c>
      <x:c r="C1" s="12" t="str">
        <x:v>Escala</x:v>
      </x:c>
      <x:c r="D1" s="12" t="str">
        <x:v>Estado</x:v>
      </x:c>
    </x:row>
    <x:row r="2">
      <x:c r="A2" s="16" t="str">
        <x:v>Dirección del proyecto</x:v>
      </x:c>
      <x:c r="B2" s="16" t="str">
        <x:v>Jefe directo</x:v>
      </x:c>
      <x:c r="C2" s="16" t="n">
        <x:v>1</x:v>
      </x:c>
      <x:c r="D2" s="16" t="str">
        <x:v>Pendiente</x:v>
      </x:c>
    </x:row>
    <x:row r="3">
      <x:c r="A3" s="16" t="str">
        <x:v>Cloud</x:v>
      </x:c>
      <x:c r="B3" s="16" t="str">
        <x:v>Compañero/par</x:v>
      </x:c>
      <x:c r="C3" s="16" t="n">
        <x:v>2</x:v>
      </x:c>
      <x:c r="D3" s="16" t="str">
        <x:v>En revisión</x:v>
      </x:c>
    </x:row>
    <x:row r="4">
      <x:c r="A4" s="16" t="str">
        <x:v>Adquisiciones</x:v>
      </x:c>
      <x:c r="B4" s="16" t="str">
        <x:v>Subordinado/equipo</x:v>
      </x:c>
      <x:c r="C4" s="16" t="n">
        <x:v>3</x:v>
      </x:c>
      <x:c r="D4" s="16" t="str">
        <x:v>Completada</x:v>
      </x:c>
    </x:row>
    <x:row r="5">
      <x:c r="A5" s="16" t="str">
        <x:v>Software</x:v>
      </x:c>
      <x:c r="B5" s="16" t="str">
        <x:v>Cliente interno/usuario clave</x:v>
      </x:c>
      <x:c r="C5" s="16" t="n">
        <x:v>4</x:v>
      </x:c>
      <x:c r="D5" s="16" t="str"/>
    </x:row>
    <x:row r="6">
      <x:c r="A6" s="16" t="str">
        <x:v>Redes</x:v>
      </x:c>
      <x:c r="B6" s="16" t="str">
        <x:v>Proveedor externo</x:v>
      </x:c>
      <x:c r="C6" s="16" t="n">
        <x:v>5</x:v>
      </x:c>
      <x:c r="D6" s="16" t="str"/>
    </x:row>
    <x:row r="7">
      <x:c r="A7" s="16" t="str">
        <x:v>Infraestructura</x:v>
      </x:c>
      <x:c r="B7" s="16" t="str"/>
      <x:c r="C7" s="16" t="str"/>
      <x:c r="D7" s="16" t="str"/>
    </x:row>
    <x:row r="8">
      <x:c r="A8" s="16" t="str">
        <x:v>QA / Calidad</x:v>
      </x:c>
      <x:c r="B8" s="16" t="str"/>
      <x:c r="C8" s="16" t="str"/>
      <x:c r="D8" s="16" t="str"/>
    </x:row>
    <x:row r="9">
      <x:c r="A9" s="16" t="str">
        <x:v>Capacitación y documentación</x:v>
      </x:c>
      <x:c r="B9" s="16" t="str"/>
      <x:c r="C9" s="16" t="str"/>
      <x:c r="D9" s="16" t="str"/>
    </x:row>
  </x:sheetData>
  <x:pageMargins left="0.7" right="0.7" top="0.75" bottom="0.75" header="0.3" footer="0.3"/>
</x:worksheet>
</file>